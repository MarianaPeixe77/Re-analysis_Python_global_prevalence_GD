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a\Mestrado\1ºano\KULeuven\programming\final-proj\data\"/>
    </mc:Choice>
  </mc:AlternateContent>
  <xr:revisionPtr revIDLastSave="0" documentId="13_ncr:1_{966D8AD1-FAF0-41FD-A114-D8C289359047}" xr6:coauthVersionLast="47" xr6:coauthVersionMax="47" xr10:uidLastSave="{00000000-0000-0000-0000-000000000000}"/>
  <bookViews>
    <workbookView xWindow="-108" yWindow="-108" windowWidth="23256" windowHeight="12456" activeTab="2" xr2:uid="{36E379DD-4687-4919-AF39-EB5D078FC98F}"/>
  </bookViews>
  <sheets>
    <sheet name="Original" sheetId="1" r:id="rId1"/>
    <sheet name="MyReview" sheetId="2" r:id="rId2"/>
    <sheet name="MyRev+comments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6" i="1" l="1"/>
  <c r="E56" i="6"/>
  <c r="C56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2" i="2"/>
  <c r="E44" i="2"/>
  <c r="E29" i="2"/>
  <c r="E54" i="2"/>
  <c r="E53" i="2"/>
  <c r="E52" i="2"/>
  <c r="E51" i="2"/>
  <c r="E50" i="2"/>
  <c r="E49" i="2"/>
  <c r="E48" i="2"/>
  <c r="E47" i="2"/>
  <c r="E46" i="2"/>
  <c r="E45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C5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2" i="1"/>
</calcChain>
</file>

<file path=xl/sharedStrings.xml><?xml version="1.0" encoding="utf-8"?>
<sst xmlns="http://schemas.openxmlformats.org/spreadsheetml/2006/main" count="182" uniqueCount="59">
  <si>
    <t>Id</t>
  </si>
  <si>
    <t>Study</t>
  </si>
  <si>
    <t>N</t>
  </si>
  <si>
    <t>Cases</t>
  </si>
  <si>
    <t>Turner et al. (2012)</t>
  </si>
  <si>
    <t>Rehbein et al. (2010)</t>
  </si>
  <si>
    <t>Van Rooij et al. (2010)</t>
  </si>
  <si>
    <t>Mentzoni et al. (2011)</t>
  </si>
  <si>
    <t>Brunborg et al. (2013)</t>
  </si>
  <si>
    <t>Jeong and Kim (2011)</t>
  </si>
  <si>
    <t>Shiue (2015)</t>
  </si>
  <si>
    <t>Seok and Da Costa (2012)</t>
  </si>
  <si>
    <t>Festl et al. (2013)</t>
  </si>
  <si>
    <t>Király et al. (2014)</t>
  </si>
  <si>
    <t>Pápay et al. (2013)</t>
  </si>
  <si>
    <t>Kim et al. (2017)</t>
  </si>
  <si>
    <t>Faulkner et al. (2015)</t>
  </si>
  <si>
    <t>Van Rooij et al. (2014)</t>
  </si>
  <si>
    <t>Khazaal et al. (2016)</t>
  </si>
  <si>
    <t>Müller et al. (2015)</t>
  </si>
  <si>
    <t>Colder Carras and
Kardefelt-Winther
(2018)</t>
  </si>
  <si>
    <t>Vadlin et al. (2015)</t>
  </si>
  <si>
    <t>Colder Carras et al.
(2017)</t>
  </si>
  <si>
    <t>Ustinavičienė et al.
(2016)</t>
  </si>
  <si>
    <t>Kuss et al. (2013)</t>
  </si>
  <si>
    <t>Wartberg et al. (2015)</t>
  </si>
  <si>
    <t>Rehbein et al. (2015)</t>
  </si>
  <si>
    <t>Wang et al. (2014)</t>
  </si>
  <si>
    <t>Brunborg et al. (2015)</t>
  </si>
  <si>
    <t>Wang et al. (2015)</t>
  </si>
  <si>
    <t>Wittek et al. (2016)</t>
  </si>
  <si>
    <t>Henchoz et al. (2016)</t>
  </si>
  <si>
    <t>Müller et al. (2014)</t>
  </si>
  <si>
    <t>Strittmatter et al. (2015)</t>
  </si>
  <si>
    <t>Männikkö et al. (2017)</t>
  </si>
  <si>
    <t>Vink et al. (2016)</t>
  </si>
  <si>
    <t>Strittmatter et al. (2016)</t>
  </si>
  <si>
    <t>Gmel et al. (2019)</t>
  </si>
  <si>
    <t>Vadlin et al. (2018)</t>
  </si>
  <si>
    <t>Pontes et al. (2016)</t>
  </si>
  <si>
    <t>Durkee et al. (2016)</t>
  </si>
  <si>
    <t>Li et al. (2016)</t>
  </si>
  <si>
    <t>Przybylski et al. (2017)</t>
  </si>
  <si>
    <t>Yu and Cho (2016)</t>
  </si>
  <si>
    <t>Müller et al. (2018)</t>
  </si>
  <si>
    <t>Wartberg et al. (2017)</t>
  </si>
  <si>
    <t>Kim et al. (2018)</t>
  </si>
  <si>
    <t>Dreier et al. (2017)</t>
  </si>
  <si>
    <t>Vadlin et al. (2016)</t>
  </si>
  <si>
    <t>Wartberg et al. (2019)</t>
  </si>
  <si>
    <t>Van den Eijnden et al.
(2018)</t>
  </si>
  <si>
    <t>Chiu et al. (2018)</t>
  </si>
  <si>
    <t>Myrseth and Notelaers
(2018)</t>
  </si>
  <si>
    <t>Lin et al. (2019)</t>
  </si>
  <si>
    <t>Prev_pct</t>
  </si>
  <si>
    <t>Total</t>
  </si>
  <si>
    <t>Type</t>
  </si>
  <si>
    <t>Color coding:</t>
  </si>
  <si>
    <t>Altered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</si>
</sst>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164" fontId="0" fillId="0" borderId="0" xfId="0" applyNumberFormat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1" applyNumberFormat="1" applyFont="1" applyFill="1" applyBorder="1"/>
    <xf numFmtId="0" fontId="0" fillId="3" borderId="1" xfId="2" applyNumberFormat="1" applyFont="1" applyFill="1" applyBorder="1"/>
    <xf numFmtId="0" fontId="0" fillId="3" borderId="3" xfId="0" applyFill="1" applyBorder="1"/>
    <xf numFmtId="0" fontId="0" fillId="3" borderId="3" xfId="1" applyNumberFormat="1" applyFont="1" applyFill="1" applyBorder="1"/>
    <xf numFmtId="0" fontId="0" fillId="3" borderId="3" xfId="2" applyNumberFormat="1" applyFont="1" applyFill="1" applyBorder="1"/>
    <xf numFmtId="0" fontId="2" fillId="2" borderId="2" xfId="0" applyFont="1" applyFill="1" applyBorder="1"/>
    <xf numFmtId="1" fontId="0" fillId="3" borderId="6" xfId="0" applyNumberFormat="1" applyFill="1" applyBorder="1"/>
    <xf numFmtId="1" fontId="0" fillId="3" borderId="8" xfId="0" applyNumberFormat="1" applyFill="1" applyBorder="1"/>
    <xf numFmtId="0" fontId="0" fillId="3" borderId="10" xfId="0" applyFill="1" applyBorder="1"/>
    <xf numFmtId="0" fontId="0" fillId="3" borderId="10" xfId="1" applyNumberFormat="1" applyFont="1" applyFill="1" applyBorder="1"/>
    <xf numFmtId="0" fontId="0" fillId="3" borderId="10" xfId="2" applyNumberFormat="1" applyFont="1" applyFill="1" applyBorder="1"/>
    <xf numFmtId="1" fontId="0" fillId="3" borderId="11" xfId="0" applyNumberFormat="1" applyFill="1" applyBorder="1"/>
    <xf numFmtId="0" fontId="2" fillId="0" borderId="4" xfId="0" applyFont="1" applyBorder="1" applyAlignment="1">
      <alignment horizontal="right"/>
    </xf>
    <xf numFmtId="164" fontId="0" fillId="0" borderId="2" xfId="0" applyNumberFormat="1" applyBorder="1"/>
    <xf numFmtId="0" fontId="0" fillId="4" borderId="5" xfId="0" applyFill="1" applyBorder="1"/>
    <xf numFmtId="0" fontId="0" fillId="4" borderId="7" xfId="0" applyFill="1" applyBorder="1"/>
    <xf numFmtId="0" fontId="0" fillId="4" borderId="9" xfId="0" applyFill="1" applyBorder="1"/>
    <xf numFmtId="0" fontId="2" fillId="2" borderId="12" xfId="0" applyFont="1" applyFill="1" applyBorder="1"/>
    <xf numFmtId="0" fontId="1" fillId="3" borderId="1" xfId="2" applyNumberFormat="1" applyFont="1" applyFill="1" applyBorder="1"/>
    <xf numFmtId="0" fontId="3" fillId="3" borderId="1" xfId="1" applyNumberFormat="1" applyFont="1" applyFill="1" applyBorder="1"/>
    <xf numFmtId="0" fontId="0" fillId="3" borderId="6" xfId="0" applyFill="1" applyBorder="1"/>
    <xf numFmtId="0" fontId="0" fillId="3" borderId="8" xfId="0" applyFill="1" applyBorder="1"/>
    <xf numFmtId="0" fontId="0" fillId="3" borderId="8" xfId="2" applyNumberFormat="1" applyFont="1" applyFill="1" applyBorder="1"/>
    <xf numFmtId="0" fontId="0" fillId="3" borderId="11" xfId="0" applyFill="1" applyBorder="1"/>
    <xf numFmtId="0" fontId="2" fillId="0" borderId="0" xfId="0" applyFont="1" applyAlignment="1">
      <alignment horizontal="right"/>
    </xf>
    <xf numFmtId="165" fontId="0" fillId="0" borderId="0" xfId="0" applyNumberFormat="1"/>
    <xf numFmtId="1" fontId="0" fillId="0" borderId="0" xfId="0" applyNumberFormat="1"/>
    <xf numFmtId="0" fontId="0" fillId="5" borderId="1" xfId="1" applyNumberFormat="1" applyFont="1" applyFill="1" applyBorder="1"/>
    <xf numFmtId="0" fontId="0" fillId="5" borderId="1" xfId="2" applyNumberFormat="1" applyFont="1" applyFill="1" applyBorder="1"/>
    <xf numFmtId="1" fontId="0" fillId="5" borderId="8" xfId="0" applyNumberFormat="1" applyFill="1" applyBorder="1"/>
    <xf numFmtId="0" fontId="0" fillId="5" borderId="0" xfId="0" applyFill="1"/>
  </cellXfs>
  <cellStyles count="3">
    <cellStyle name="Normal" xfId="0" builtinId="0"/>
    <cellStyle name="Pe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AFFD2-FD8A-451A-9C29-8297C2F084EF}">
  <dimension ref="A1:G65"/>
  <sheetViews>
    <sheetView workbookViewId="0">
      <selection activeCell="H56" sqref="H56"/>
    </sheetView>
  </sheetViews>
  <sheetFormatPr defaultColWidth="8.77734375" defaultRowHeight="14.4" x14ac:dyDescent="0.3"/>
  <cols>
    <col min="1" max="1" width="3" bestFit="1" customWidth="1"/>
    <col min="2" max="2" width="20.44140625" bestFit="1" customWidth="1"/>
    <col min="3" max="3" width="11.33203125" bestFit="1" customWidth="1"/>
    <col min="4" max="4" width="13.109375" bestFit="1" customWidth="1"/>
    <col min="5" max="5" width="9.6640625" bestFit="1" customWidth="1"/>
    <col min="9" max="9" width="38.77734375" customWidth="1"/>
  </cols>
  <sheetData>
    <row r="1" spans="1:7" ht="15" thickBot="1" x14ac:dyDescent="0.35">
      <c r="A1" s="9" t="s">
        <v>0</v>
      </c>
      <c r="B1" s="9" t="s">
        <v>1</v>
      </c>
      <c r="C1" s="9" t="s">
        <v>2</v>
      </c>
      <c r="D1" s="9" t="s">
        <v>54</v>
      </c>
      <c r="E1" s="9" t="s">
        <v>3</v>
      </c>
    </row>
    <row r="2" spans="1:7" x14ac:dyDescent="0.3">
      <c r="A2" s="18">
        <v>1</v>
      </c>
      <c r="B2" s="6" t="s">
        <v>4</v>
      </c>
      <c r="C2" s="7">
        <v>2826</v>
      </c>
      <c r="D2" s="8">
        <v>8.5299999999999994</v>
      </c>
      <c r="E2" s="10">
        <f>C2*D2/100</f>
        <v>241.05779999999999</v>
      </c>
      <c r="F2" s="1"/>
      <c r="G2" s="1"/>
    </row>
    <row r="3" spans="1:7" x14ac:dyDescent="0.3">
      <c r="A3" s="19">
        <v>2</v>
      </c>
      <c r="B3" s="2" t="s">
        <v>5</v>
      </c>
      <c r="C3" s="4">
        <v>15168</v>
      </c>
      <c r="D3" s="5">
        <v>1.7</v>
      </c>
      <c r="E3" s="11">
        <f t="shared" ref="E3:E54" si="0">C3*D3/100</f>
        <v>257.85599999999999</v>
      </c>
    </row>
    <row r="4" spans="1:7" x14ac:dyDescent="0.3">
      <c r="A4" s="19">
        <v>3</v>
      </c>
      <c r="B4" s="2" t="s">
        <v>6</v>
      </c>
      <c r="C4" s="4">
        <v>8299</v>
      </c>
      <c r="D4" s="5">
        <v>1.04</v>
      </c>
      <c r="E4" s="11">
        <f t="shared" si="0"/>
        <v>86.309600000000003</v>
      </c>
    </row>
    <row r="5" spans="1:7" x14ac:dyDescent="0.3">
      <c r="A5" s="19">
        <v>4</v>
      </c>
      <c r="B5" s="2" t="s">
        <v>7</v>
      </c>
      <c r="C5" s="4">
        <v>816</v>
      </c>
      <c r="D5" s="5">
        <v>0.61</v>
      </c>
      <c r="E5" s="11">
        <f t="shared" si="0"/>
        <v>4.9775999999999998</v>
      </c>
    </row>
    <row r="6" spans="1:7" x14ac:dyDescent="0.3">
      <c r="A6" s="19">
        <v>5</v>
      </c>
      <c r="B6" s="2" t="s">
        <v>8</v>
      </c>
      <c r="C6" s="4">
        <v>1320</v>
      </c>
      <c r="D6" s="5">
        <v>4.24</v>
      </c>
      <c r="E6" s="11">
        <f t="shared" si="0"/>
        <v>55.968000000000004</v>
      </c>
    </row>
    <row r="7" spans="1:7" x14ac:dyDescent="0.3">
      <c r="A7" s="19">
        <v>6</v>
      </c>
      <c r="B7" s="2" t="s">
        <v>9</v>
      </c>
      <c r="C7" s="4">
        <v>600</v>
      </c>
      <c r="D7" s="5">
        <v>2.17</v>
      </c>
      <c r="E7" s="11">
        <f t="shared" si="0"/>
        <v>13.02</v>
      </c>
    </row>
    <row r="8" spans="1:7" x14ac:dyDescent="0.3">
      <c r="A8" s="19">
        <v>7</v>
      </c>
      <c r="B8" s="2" t="s">
        <v>10</v>
      </c>
      <c r="C8" s="4">
        <v>5003</v>
      </c>
      <c r="D8" s="5">
        <v>5.5</v>
      </c>
      <c r="E8" s="11">
        <f t="shared" si="0"/>
        <v>275.16500000000002</v>
      </c>
    </row>
    <row r="9" spans="1:7" x14ac:dyDescent="0.3">
      <c r="A9" s="19">
        <v>8</v>
      </c>
      <c r="B9" s="2" t="s">
        <v>11</v>
      </c>
      <c r="C9" s="4">
        <v>1332</v>
      </c>
      <c r="D9" s="5">
        <v>2.7</v>
      </c>
      <c r="E9" s="11">
        <f t="shared" si="0"/>
        <v>35.963999999999999</v>
      </c>
    </row>
    <row r="10" spans="1:7" x14ac:dyDescent="0.3">
      <c r="A10" s="19">
        <v>9</v>
      </c>
      <c r="B10" s="2" t="s">
        <v>12</v>
      </c>
      <c r="C10" s="4">
        <v>4382</v>
      </c>
      <c r="D10" s="5">
        <v>0.16</v>
      </c>
      <c r="E10" s="11">
        <f t="shared" si="0"/>
        <v>7.0111999999999997</v>
      </c>
    </row>
    <row r="11" spans="1:7" x14ac:dyDescent="0.3">
      <c r="A11" s="19">
        <v>10</v>
      </c>
      <c r="B11" s="2" t="s">
        <v>13</v>
      </c>
      <c r="C11" s="4">
        <v>4875</v>
      </c>
      <c r="D11" s="5">
        <v>4.33</v>
      </c>
      <c r="E11" s="11">
        <f t="shared" si="0"/>
        <v>211.08750000000001</v>
      </c>
    </row>
    <row r="12" spans="1:7" x14ac:dyDescent="0.3">
      <c r="A12" s="19">
        <v>11</v>
      </c>
      <c r="B12" s="2" t="s">
        <v>14</v>
      </c>
      <c r="C12" s="4">
        <v>5045</v>
      </c>
      <c r="D12" s="5">
        <v>4.5599999999999996</v>
      </c>
      <c r="E12" s="11">
        <f t="shared" si="0"/>
        <v>230.05199999999996</v>
      </c>
    </row>
    <row r="13" spans="1:7" x14ac:dyDescent="0.3">
      <c r="A13" s="19">
        <v>12</v>
      </c>
      <c r="B13" s="2" t="s">
        <v>15</v>
      </c>
      <c r="C13" s="4">
        <v>1401</v>
      </c>
      <c r="D13" s="5">
        <v>7.71</v>
      </c>
      <c r="E13" s="11">
        <f t="shared" si="0"/>
        <v>108.01709999999999</v>
      </c>
    </row>
    <row r="14" spans="1:7" x14ac:dyDescent="0.3">
      <c r="A14" s="19">
        <v>13</v>
      </c>
      <c r="B14" s="2" t="s">
        <v>16</v>
      </c>
      <c r="C14" s="4">
        <v>3338</v>
      </c>
      <c r="D14" s="5">
        <v>1.89</v>
      </c>
      <c r="E14" s="11">
        <f t="shared" si="0"/>
        <v>63.088200000000001</v>
      </c>
    </row>
    <row r="15" spans="1:7" x14ac:dyDescent="0.3">
      <c r="A15" s="19">
        <v>14</v>
      </c>
      <c r="B15" s="2" t="s">
        <v>17</v>
      </c>
      <c r="C15" s="4">
        <v>8478</v>
      </c>
      <c r="D15" s="5">
        <v>2.41</v>
      </c>
      <c r="E15" s="11">
        <f t="shared" si="0"/>
        <v>204.31979999999999</v>
      </c>
    </row>
    <row r="16" spans="1:7" x14ac:dyDescent="0.3">
      <c r="A16" s="19">
        <v>15</v>
      </c>
      <c r="B16" s="2" t="s">
        <v>18</v>
      </c>
      <c r="C16" s="4">
        <v>5983</v>
      </c>
      <c r="D16" s="5">
        <v>2.2999999999999998</v>
      </c>
      <c r="E16" s="11">
        <f t="shared" si="0"/>
        <v>137.60900000000001</v>
      </c>
    </row>
    <row r="17" spans="1:5" x14ac:dyDescent="0.3">
      <c r="A17" s="19">
        <v>16</v>
      </c>
      <c r="B17" s="2" t="s">
        <v>19</v>
      </c>
      <c r="C17" s="4">
        <v>12938</v>
      </c>
      <c r="D17" s="5">
        <v>1.62</v>
      </c>
      <c r="E17" s="11">
        <f t="shared" si="0"/>
        <v>209.59560000000002</v>
      </c>
    </row>
    <row r="18" spans="1:5" ht="43.2" x14ac:dyDescent="0.3">
      <c r="A18" s="19">
        <v>17</v>
      </c>
      <c r="B18" s="3" t="s">
        <v>20</v>
      </c>
      <c r="C18" s="4">
        <v>13460</v>
      </c>
      <c r="D18" s="5">
        <v>2.2000000000000002</v>
      </c>
      <c r="E18" s="11">
        <f t="shared" si="0"/>
        <v>296.12000000000006</v>
      </c>
    </row>
    <row r="19" spans="1:5" x14ac:dyDescent="0.3">
      <c r="A19" s="19">
        <v>18</v>
      </c>
      <c r="B19" s="2" t="s">
        <v>21</v>
      </c>
      <c r="C19" s="4">
        <v>1783</v>
      </c>
      <c r="D19" s="5">
        <v>1.29</v>
      </c>
      <c r="E19" s="11">
        <f t="shared" si="0"/>
        <v>23.000700000000002</v>
      </c>
    </row>
    <row r="20" spans="1:5" ht="28.8" x14ac:dyDescent="0.3">
      <c r="A20" s="19">
        <v>19</v>
      </c>
      <c r="B20" s="3" t="s">
        <v>22</v>
      </c>
      <c r="C20" s="4">
        <v>9733</v>
      </c>
      <c r="D20" s="5">
        <v>1.3</v>
      </c>
      <c r="E20" s="11">
        <f t="shared" si="0"/>
        <v>126.529</v>
      </c>
    </row>
    <row r="21" spans="1:5" ht="28.8" x14ac:dyDescent="0.3">
      <c r="A21" s="19">
        <v>20</v>
      </c>
      <c r="B21" s="3" t="s">
        <v>23</v>
      </c>
      <c r="C21" s="4">
        <v>1730</v>
      </c>
      <c r="D21" s="5">
        <v>9.1300000000000008</v>
      </c>
      <c r="E21" s="11">
        <f t="shared" si="0"/>
        <v>157.94900000000001</v>
      </c>
    </row>
    <row r="22" spans="1:5" x14ac:dyDescent="0.3">
      <c r="A22" s="19">
        <v>21</v>
      </c>
      <c r="B22" s="3" t="s">
        <v>24</v>
      </c>
      <c r="C22" s="4">
        <v>3105</v>
      </c>
      <c r="D22" s="5">
        <v>3.64</v>
      </c>
      <c r="E22" s="11">
        <f t="shared" si="0"/>
        <v>113.02200000000001</v>
      </c>
    </row>
    <row r="23" spans="1:5" x14ac:dyDescent="0.3">
      <c r="A23" s="19">
        <v>22</v>
      </c>
      <c r="B23" s="2" t="s">
        <v>25</v>
      </c>
      <c r="C23" s="4">
        <v>1744</v>
      </c>
      <c r="D23" s="5">
        <v>3.21</v>
      </c>
      <c r="E23" s="11">
        <f t="shared" si="0"/>
        <v>55.982399999999998</v>
      </c>
    </row>
    <row r="24" spans="1:5" x14ac:dyDescent="0.3">
      <c r="A24" s="19">
        <v>23</v>
      </c>
      <c r="B24" s="2" t="s">
        <v>26</v>
      </c>
      <c r="C24" s="4">
        <v>11003</v>
      </c>
      <c r="D24" s="5">
        <v>1.1599999999999999</v>
      </c>
      <c r="E24" s="11">
        <f t="shared" si="0"/>
        <v>127.6348</v>
      </c>
    </row>
    <row r="25" spans="1:5" x14ac:dyDescent="0.3">
      <c r="A25" s="19">
        <v>24</v>
      </c>
      <c r="B25" s="2" t="s">
        <v>27</v>
      </c>
      <c r="C25" s="4">
        <v>503</v>
      </c>
      <c r="D25" s="5">
        <v>14.71</v>
      </c>
      <c r="E25" s="11">
        <f t="shared" si="0"/>
        <v>73.991299999999995</v>
      </c>
    </row>
    <row r="26" spans="1:5" x14ac:dyDescent="0.3">
      <c r="A26" s="19">
        <v>25</v>
      </c>
      <c r="B26" s="2" t="s">
        <v>28</v>
      </c>
      <c r="C26" s="4">
        <v>3037</v>
      </c>
      <c r="D26" s="5">
        <v>0.72</v>
      </c>
      <c r="E26" s="11">
        <f t="shared" si="0"/>
        <v>21.866399999999999</v>
      </c>
    </row>
    <row r="27" spans="1:5" x14ac:dyDescent="0.3">
      <c r="A27" s="19">
        <v>26</v>
      </c>
      <c r="B27" s="2" t="s">
        <v>29</v>
      </c>
      <c r="C27" s="4">
        <v>920</v>
      </c>
      <c r="D27" s="5">
        <v>13.04</v>
      </c>
      <c r="E27" s="11">
        <f t="shared" si="0"/>
        <v>119.96799999999999</v>
      </c>
    </row>
    <row r="28" spans="1:5" x14ac:dyDescent="0.3">
      <c r="A28" s="19">
        <v>27</v>
      </c>
      <c r="B28" s="2" t="s">
        <v>30</v>
      </c>
      <c r="C28" s="4">
        <v>10081</v>
      </c>
      <c r="D28" s="5">
        <v>0.53</v>
      </c>
      <c r="E28" s="11">
        <f t="shared" si="0"/>
        <v>53.429300000000005</v>
      </c>
    </row>
    <row r="29" spans="1:5" x14ac:dyDescent="0.3">
      <c r="A29" s="19">
        <v>28</v>
      </c>
      <c r="B29" s="2" t="s">
        <v>31</v>
      </c>
      <c r="C29" s="4">
        <v>5223</v>
      </c>
      <c r="D29" s="5">
        <v>1.6</v>
      </c>
      <c r="E29" s="11">
        <f t="shared" si="0"/>
        <v>83.568000000000012</v>
      </c>
    </row>
    <row r="30" spans="1:5" x14ac:dyDescent="0.3">
      <c r="A30" s="19">
        <v>29</v>
      </c>
      <c r="B30" s="2" t="s">
        <v>32</v>
      </c>
      <c r="C30" s="4">
        <v>2512</v>
      </c>
      <c r="D30" s="5">
        <v>2.11</v>
      </c>
      <c r="E30" s="11">
        <f t="shared" si="0"/>
        <v>53.0032</v>
      </c>
    </row>
    <row r="31" spans="1:5" x14ac:dyDescent="0.3">
      <c r="A31" s="19">
        <v>30</v>
      </c>
      <c r="B31" s="2" t="s">
        <v>33</v>
      </c>
      <c r="C31" s="4">
        <v>8807</v>
      </c>
      <c r="D31" s="5">
        <v>3.62</v>
      </c>
      <c r="E31" s="11">
        <f t="shared" si="0"/>
        <v>318.8134</v>
      </c>
    </row>
    <row r="32" spans="1:5" x14ac:dyDescent="0.3">
      <c r="A32" s="19">
        <v>31</v>
      </c>
      <c r="B32" s="2" t="s">
        <v>34</v>
      </c>
      <c r="C32" s="4">
        <v>271</v>
      </c>
      <c r="D32" s="5">
        <v>8.86</v>
      </c>
      <c r="E32" s="11">
        <f t="shared" si="0"/>
        <v>24.0106</v>
      </c>
    </row>
    <row r="33" spans="1:5" x14ac:dyDescent="0.3">
      <c r="A33" s="19">
        <v>32</v>
      </c>
      <c r="B33" s="2" t="s">
        <v>35</v>
      </c>
      <c r="C33" s="4">
        <v>5278</v>
      </c>
      <c r="D33" s="5">
        <v>4</v>
      </c>
      <c r="E33" s="11">
        <f t="shared" si="0"/>
        <v>211.12</v>
      </c>
    </row>
    <row r="34" spans="1:5" x14ac:dyDescent="0.3">
      <c r="A34" s="19">
        <v>33</v>
      </c>
      <c r="B34" s="2" t="s">
        <v>36</v>
      </c>
      <c r="C34" s="4">
        <v>515</v>
      </c>
      <c r="D34" s="5">
        <v>3.11</v>
      </c>
      <c r="E34" s="11">
        <f t="shared" si="0"/>
        <v>16.016499999999997</v>
      </c>
    </row>
    <row r="35" spans="1:5" x14ac:dyDescent="0.3">
      <c r="A35" s="19">
        <v>34</v>
      </c>
      <c r="B35" s="2" t="s">
        <v>37</v>
      </c>
      <c r="C35" s="4">
        <v>2921</v>
      </c>
      <c r="D35" s="5">
        <v>3.36</v>
      </c>
      <c r="E35" s="11">
        <f t="shared" si="0"/>
        <v>98.145600000000002</v>
      </c>
    </row>
    <row r="36" spans="1:5" x14ac:dyDescent="0.3">
      <c r="A36" s="19">
        <v>35</v>
      </c>
      <c r="B36" s="2" t="s">
        <v>38</v>
      </c>
      <c r="C36" s="4">
        <v>1576</v>
      </c>
      <c r="D36" s="5">
        <v>21.76</v>
      </c>
      <c r="E36" s="11">
        <f t="shared" si="0"/>
        <v>342.93760000000003</v>
      </c>
    </row>
    <row r="37" spans="1:5" x14ac:dyDescent="0.3">
      <c r="A37" s="19">
        <v>36</v>
      </c>
      <c r="B37" s="2" t="s">
        <v>39</v>
      </c>
      <c r="C37" s="4">
        <v>1071</v>
      </c>
      <c r="D37" s="5">
        <v>2.4300000000000002</v>
      </c>
      <c r="E37" s="11">
        <f t="shared" si="0"/>
        <v>26.025300000000001</v>
      </c>
    </row>
    <row r="38" spans="1:5" x14ac:dyDescent="0.3">
      <c r="A38" s="19">
        <v>37</v>
      </c>
      <c r="B38" s="2" t="s">
        <v>40</v>
      </c>
      <c r="C38" s="4">
        <v>11931</v>
      </c>
      <c r="D38" s="5">
        <v>4.43</v>
      </c>
      <c r="E38" s="11">
        <f t="shared" si="0"/>
        <v>528.54329999999993</v>
      </c>
    </row>
    <row r="39" spans="1:5" x14ac:dyDescent="0.3">
      <c r="A39" s="19">
        <v>38</v>
      </c>
      <c r="B39" s="2" t="s">
        <v>41</v>
      </c>
      <c r="C39" s="4">
        <v>654</v>
      </c>
      <c r="D39" s="5">
        <v>4.74</v>
      </c>
      <c r="E39" s="11">
        <f t="shared" si="0"/>
        <v>30.999600000000001</v>
      </c>
    </row>
    <row r="40" spans="1:5" x14ac:dyDescent="0.3">
      <c r="A40" s="19">
        <v>39</v>
      </c>
      <c r="B40" s="2" t="s">
        <v>42</v>
      </c>
      <c r="C40" s="4">
        <v>1247</v>
      </c>
      <c r="D40" s="5">
        <v>2.8</v>
      </c>
      <c r="E40" s="11">
        <f t="shared" si="0"/>
        <v>34.915999999999997</v>
      </c>
    </row>
    <row r="41" spans="1:5" x14ac:dyDescent="0.3">
      <c r="A41" s="19">
        <v>40</v>
      </c>
      <c r="B41" s="2" t="s">
        <v>42</v>
      </c>
      <c r="C41" s="4">
        <v>1899</v>
      </c>
      <c r="D41" s="5">
        <v>2.7</v>
      </c>
      <c r="E41" s="11">
        <f t="shared" si="0"/>
        <v>51.273000000000003</v>
      </c>
    </row>
    <row r="42" spans="1:5" x14ac:dyDescent="0.3">
      <c r="A42" s="19">
        <v>41</v>
      </c>
      <c r="B42" s="2" t="s">
        <v>42</v>
      </c>
      <c r="C42" s="4">
        <v>10009</v>
      </c>
      <c r="D42" s="5">
        <v>2.6</v>
      </c>
      <c r="E42" s="11">
        <f t="shared" si="0"/>
        <v>260.23400000000004</v>
      </c>
    </row>
    <row r="43" spans="1:5" x14ac:dyDescent="0.3">
      <c r="A43" s="19">
        <v>42</v>
      </c>
      <c r="B43" s="2" t="s">
        <v>42</v>
      </c>
      <c r="C43" s="4">
        <v>5777</v>
      </c>
      <c r="D43" s="5">
        <v>1.2</v>
      </c>
      <c r="E43" s="11">
        <f t="shared" si="0"/>
        <v>69.323999999999998</v>
      </c>
    </row>
    <row r="44" spans="1:5" x14ac:dyDescent="0.3">
      <c r="A44" s="19">
        <v>43</v>
      </c>
      <c r="B44" s="2" t="s">
        <v>43</v>
      </c>
      <c r="C44" s="4">
        <v>2024</v>
      </c>
      <c r="D44" s="5">
        <v>5.88</v>
      </c>
      <c r="E44" s="11">
        <f t="shared" si="0"/>
        <v>119.01119999999999</v>
      </c>
    </row>
    <row r="45" spans="1:5" x14ac:dyDescent="0.3">
      <c r="A45" s="19">
        <v>44</v>
      </c>
      <c r="B45" s="2" t="s">
        <v>44</v>
      </c>
      <c r="C45" s="4">
        <v>1489</v>
      </c>
      <c r="D45" s="5">
        <v>2.48</v>
      </c>
      <c r="E45" s="11">
        <f t="shared" si="0"/>
        <v>36.927199999999999</v>
      </c>
    </row>
    <row r="46" spans="1:5" x14ac:dyDescent="0.3">
      <c r="A46" s="19">
        <v>45</v>
      </c>
      <c r="B46" s="2" t="s">
        <v>45</v>
      </c>
      <c r="C46" s="4">
        <v>1531</v>
      </c>
      <c r="D46" s="5">
        <v>5.75</v>
      </c>
      <c r="E46" s="11">
        <f t="shared" si="0"/>
        <v>88.032499999999999</v>
      </c>
    </row>
    <row r="47" spans="1:5" x14ac:dyDescent="0.3">
      <c r="A47" s="19">
        <v>46</v>
      </c>
      <c r="B47" s="2" t="s">
        <v>46</v>
      </c>
      <c r="C47" s="4">
        <v>402</v>
      </c>
      <c r="D47" s="5">
        <v>8.9600000000000009</v>
      </c>
      <c r="E47" s="11">
        <f t="shared" si="0"/>
        <v>36.019200000000005</v>
      </c>
    </row>
    <row r="48" spans="1:5" x14ac:dyDescent="0.3">
      <c r="A48" s="19">
        <v>47</v>
      </c>
      <c r="B48" s="2" t="s">
        <v>47</v>
      </c>
      <c r="C48" s="4">
        <v>3967</v>
      </c>
      <c r="D48" s="5">
        <v>1.94</v>
      </c>
      <c r="E48" s="11">
        <f t="shared" si="0"/>
        <v>76.959800000000001</v>
      </c>
    </row>
    <row r="49" spans="1:5" x14ac:dyDescent="0.3">
      <c r="A49" s="19">
        <v>48</v>
      </c>
      <c r="B49" s="2" t="s">
        <v>48</v>
      </c>
      <c r="C49" s="4">
        <v>2110</v>
      </c>
      <c r="D49" s="5">
        <v>9.48</v>
      </c>
      <c r="E49" s="11">
        <f t="shared" si="0"/>
        <v>200.02799999999999</v>
      </c>
    </row>
    <row r="50" spans="1:5" x14ac:dyDescent="0.3">
      <c r="A50" s="19">
        <v>49</v>
      </c>
      <c r="B50" s="2" t="s">
        <v>49</v>
      </c>
      <c r="C50" s="4">
        <v>985</v>
      </c>
      <c r="D50" s="5">
        <v>14.42</v>
      </c>
      <c r="E50" s="11">
        <f t="shared" si="0"/>
        <v>142.03700000000001</v>
      </c>
    </row>
    <row r="51" spans="1:5" ht="28.8" x14ac:dyDescent="0.3">
      <c r="A51" s="19">
        <v>50</v>
      </c>
      <c r="B51" s="3" t="s">
        <v>50</v>
      </c>
      <c r="C51" s="4">
        <v>538</v>
      </c>
      <c r="D51" s="5">
        <v>9.76</v>
      </c>
      <c r="E51" s="11">
        <f t="shared" si="0"/>
        <v>52.508800000000001</v>
      </c>
    </row>
    <row r="52" spans="1:5" x14ac:dyDescent="0.3">
      <c r="A52" s="19">
        <v>51</v>
      </c>
      <c r="B52" s="2" t="s">
        <v>51</v>
      </c>
      <c r="C52" s="4">
        <v>8110</v>
      </c>
      <c r="D52" s="5">
        <v>3.14</v>
      </c>
      <c r="E52" s="11">
        <f t="shared" si="0"/>
        <v>254.65400000000002</v>
      </c>
    </row>
    <row r="53" spans="1:5" ht="28.8" x14ac:dyDescent="0.3">
      <c r="A53" s="19">
        <v>52</v>
      </c>
      <c r="B53" s="3" t="s">
        <v>52</v>
      </c>
      <c r="C53" s="4">
        <v>2055</v>
      </c>
      <c r="D53" s="5">
        <v>1.22</v>
      </c>
      <c r="E53" s="11">
        <f t="shared" si="0"/>
        <v>25.070999999999998</v>
      </c>
    </row>
    <row r="54" spans="1:5" ht="15" thickBot="1" x14ac:dyDescent="0.35">
      <c r="A54" s="20">
        <v>53</v>
      </c>
      <c r="B54" s="12" t="s">
        <v>53</v>
      </c>
      <c r="C54" s="13">
        <v>4442</v>
      </c>
      <c r="D54" s="14">
        <v>2.39</v>
      </c>
      <c r="E54" s="15">
        <f t="shared" si="0"/>
        <v>106.16380000000001</v>
      </c>
    </row>
    <row r="55" spans="1:5" ht="15" thickBot="1" x14ac:dyDescent="0.35"/>
    <row r="56" spans="1:5" ht="15" thickBot="1" x14ac:dyDescent="0.35">
      <c r="B56" s="16" t="s">
        <v>55</v>
      </c>
      <c r="C56" s="17">
        <f>SUM(C2:C55)</f>
        <v>226247</v>
      </c>
      <c r="D56" s="16" t="s">
        <v>55</v>
      </c>
      <c r="E56" s="17">
        <f>SUM(E2:E55)</f>
        <v>6596.9339000000009</v>
      </c>
    </row>
    <row r="58" spans="1:5" x14ac:dyDescent="0.3">
      <c r="B58" s="28"/>
    </row>
    <row r="59" spans="1:5" x14ac:dyDescent="0.3">
      <c r="B59" s="28"/>
    </row>
    <row r="60" spans="1:5" x14ac:dyDescent="0.3">
      <c r="B60" s="28"/>
      <c r="C60" s="29"/>
    </row>
    <row r="63" spans="1:5" x14ac:dyDescent="0.3">
      <c r="B63" s="28"/>
      <c r="C63" s="30"/>
    </row>
    <row r="64" spans="1:5" x14ac:dyDescent="0.3">
      <c r="B64" s="28"/>
      <c r="C64" s="30"/>
    </row>
    <row r="65" spans="2:3" x14ac:dyDescent="0.3">
      <c r="B65" s="28"/>
      <c r="C65" s="29"/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45A86-5F84-4B16-96F8-E91F74D6B76B}">
  <dimension ref="A1:G65"/>
  <sheetViews>
    <sheetView topLeftCell="A40" zoomScaleNormal="100" workbookViewId="0">
      <selection activeCell="D51" sqref="D51:E51"/>
    </sheetView>
  </sheetViews>
  <sheetFormatPr defaultColWidth="8.77734375" defaultRowHeight="14.4" x14ac:dyDescent="0.3"/>
  <cols>
    <col min="1" max="1" width="3" bestFit="1" customWidth="1"/>
    <col min="2" max="2" width="21.5546875" bestFit="1" customWidth="1"/>
    <col min="3" max="3" width="11.5546875" customWidth="1"/>
    <col min="4" max="4" width="10.88671875" customWidth="1"/>
    <col min="5" max="5" width="9.6640625" bestFit="1" customWidth="1"/>
    <col min="6" max="6" width="4.88671875" bestFit="1" customWidth="1"/>
    <col min="9" max="9" width="38.77734375" customWidth="1"/>
  </cols>
  <sheetData>
    <row r="1" spans="1:7" ht="15" thickBot="1" x14ac:dyDescent="0.35">
      <c r="A1" s="9" t="s">
        <v>0</v>
      </c>
      <c r="B1" s="9" t="s">
        <v>1</v>
      </c>
      <c r="C1" s="9" t="s">
        <v>2</v>
      </c>
      <c r="D1" s="9" t="s">
        <v>54</v>
      </c>
      <c r="E1" s="9" t="s">
        <v>3</v>
      </c>
      <c r="F1" s="21" t="s">
        <v>56</v>
      </c>
    </row>
    <row r="2" spans="1:7" x14ac:dyDescent="0.3">
      <c r="A2" s="18">
        <v>1</v>
      </c>
      <c r="B2" s="6" t="s">
        <v>4</v>
      </c>
      <c r="C2" s="7">
        <v>2826</v>
      </c>
      <c r="D2" s="8">
        <v>8.5299999999999994</v>
      </c>
      <c r="E2" s="10">
        <f>C2*D2/100</f>
        <v>241.05779999999999</v>
      </c>
      <c r="F2" s="24">
        <v>1</v>
      </c>
      <c r="G2" s="1"/>
    </row>
    <row r="3" spans="1:7" x14ac:dyDescent="0.3">
      <c r="A3" s="19">
        <v>2</v>
      </c>
      <c r="B3" s="2" t="s">
        <v>5</v>
      </c>
      <c r="C3" s="4">
        <v>15168</v>
      </c>
      <c r="D3" s="5">
        <v>1.7</v>
      </c>
      <c r="E3" s="11">
        <f t="shared" ref="E3:E54" si="0">C3*D3/100</f>
        <v>257.85599999999999</v>
      </c>
      <c r="F3" s="25">
        <v>1</v>
      </c>
    </row>
    <row r="4" spans="1:7" x14ac:dyDescent="0.3">
      <c r="A4" s="19">
        <v>3</v>
      </c>
      <c r="B4" s="2" t="s">
        <v>6</v>
      </c>
      <c r="C4" s="4">
        <v>8299</v>
      </c>
      <c r="D4" s="5">
        <v>1.04</v>
      </c>
      <c r="E4" s="11">
        <f t="shared" si="0"/>
        <v>86.309600000000003</v>
      </c>
      <c r="F4" s="25">
        <v>4</v>
      </c>
    </row>
    <row r="5" spans="1:7" x14ac:dyDescent="0.3">
      <c r="A5" s="19">
        <v>4</v>
      </c>
      <c r="B5" s="2" t="s">
        <v>7</v>
      </c>
      <c r="C5" s="4">
        <v>816</v>
      </c>
      <c r="D5" s="22">
        <v>0.61</v>
      </c>
      <c r="E5" s="11">
        <f t="shared" si="0"/>
        <v>4.9775999999999998</v>
      </c>
      <c r="F5" s="25">
        <v>1</v>
      </c>
    </row>
    <row r="6" spans="1:7" x14ac:dyDescent="0.3">
      <c r="A6" s="19">
        <v>5</v>
      </c>
      <c r="B6" s="2" t="s">
        <v>8</v>
      </c>
      <c r="C6" s="4">
        <v>1320</v>
      </c>
      <c r="D6" s="5">
        <v>4.24</v>
      </c>
      <c r="E6" s="11">
        <f t="shared" si="0"/>
        <v>55.968000000000004</v>
      </c>
      <c r="F6" s="26">
        <v>4</v>
      </c>
    </row>
    <row r="7" spans="1:7" x14ac:dyDescent="0.3">
      <c r="A7" s="19">
        <v>6</v>
      </c>
      <c r="B7" s="2" t="s">
        <v>9</v>
      </c>
      <c r="C7" s="4">
        <v>600</v>
      </c>
      <c r="D7" s="5">
        <v>2.17</v>
      </c>
      <c r="E7" s="11">
        <f t="shared" si="0"/>
        <v>13.02</v>
      </c>
      <c r="F7" s="25">
        <v>2</v>
      </c>
    </row>
    <row r="8" spans="1:7" x14ac:dyDescent="0.3">
      <c r="A8" s="19">
        <v>7</v>
      </c>
      <c r="B8" s="2" t="s">
        <v>10</v>
      </c>
      <c r="C8" s="4">
        <v>5003</v>
      </c>
      <c r="D8" s="5">
        <v>5.5</v>
      </c>
      <c r="E8" s="11">
        <f t="shared" si="0"/>
        <v>275.16500000000002</v>
      </c>
      <c r="F8" s="25">
        <v>1</v>
      </c>
    </row>
    <row r="9" spans="1:7" x14ac:dyDescent="0.3">
      <c r="A9" s="19">
        <v>8</v>
      </c>
      <c r="B9" s="2" t="s">
        <v>11</v>
      </c>
      <c r="C9" s="4">
        <v>1332</v>
      </c>
      <c r="D9" s="5">
        <v>2.7</v>
      </c>
      <c r="E9" s="11">
        <f t="shared" si="0"/>
        <v>35.963999999999999</v>
      </c>
      <c r="F9" s="25">
        <v>2</v>
      </c>
    </row>
    <row r="10" spans="1:7" x14ac:dyDescent="0.3">
      <c r="A10" s="19">
        <v>9</v>
      </c>
      <c r="B10" s="2" t="s">
        <v>12</v>
      </c>
      <c r="C10" s="4">
        <v>4382</v>
      </c>
      <c r="D10" s="5">
        <v>0.16</v>
      </c>
      <c r="E10" s="11">
        <f t="shared" si="0"/>
        <v>7.0111999999999997</v>
      </c>
      <c r="F10" s="25">
        <v>4</v>
      </c>
    </row>
    <row r="11" spans="1:7" x14ac:dyDescent="0.3">
      <c r="A11" s="19">
        <v>10</v>
      </c>
      <c r="B11" s="2" t="s">
        <v>13</v>
      </c>
      <c r="C11" s="4">
        <v>4875</v>
      </c>
      <c r="D11" s="5">
        <v>4.33</v>
      </c>
      <c r="E11" s="11">
        <f t="shared" si="0"/>
        <v>211.08750000000001</v>
      </c>
      <c r="F11" s="25">
        <v>4</v>
      </c>
    </row>
    <row r="12" spans="1:7" x14ac:dyDescent="0.3">
      <c r="A12" s="19">
        <v>11</v>
      </c>
      <c r="B12" s="2" t="s">
        <v>14</v>
      </c>
      <c r="C12" s="4">
        <v>5045</v>
      </c>
      <c r="D12" s="5">
        <v>4.5999999999999996</v>
      </c>
      <c r="E12" s="11">
        <f t="shared" si="0"/>
        <v>232.07</v>
      </c>
      <c r="F12" s="25">
        <v>4</v>
      </c>
    </row>
    <row r="13" spans="1:7" x14ac:dyDescent="0.3">
      <c r="A13" s="19">
        <v>12</v>
      </c>
      <c r="B13" s="2" t="s">
        <v>15</v>
      </c>
      <c r="C13" s="23">
        <v>1401</v>
      </c>
      <c r="D13" s="5">
        <v>7.71</v>
      </c>
      <c r="E13" s="11">
        <f t="shared" si="0"/>
        <v>108.01709999999999</v>
      </c>
      <c r="F13" s="25">
        <v>4</v>
      </c>
    </row>
    <row r="14" spans="1:7" x14ac:dyDescent="0.3">
      <c r="A14" s="19">
        <v>13</v>
      </c>
      <c r="B14" s="2" t="s">
        <v>16</v>
      </c>
      <c r="C14" s="4">
        <v>3338</v>
      </c>
      <c r="D14" s="5">
        <v>1.89</v>
      </c>
      <c r="E14" s="11">
        <f t="shared" si="0"/>
        <v>63.088200000000001</v>
      </c>
      <c r="F14" s="25">
        <v>1</v>
      </c>
    </row>
    <row r="15" spans="1:7" x14ac:dyDescent="0.3">
      <c r="A15" s="19">
        <v>14</v>
      </c>
      <c r="B15" s="2" t="s">
        <v>17</v>
      </c>
      <c r="C15" s="4">
        <v>8478</v>
      </c>
      <c r="D15" s="5">
        <v>2.41</v>
      </c>
      <c r="E15" s="11">
        <f t="shared" si="0"/>
        <v>204.31979999999999</v>
      </c>
      <c r="F15" s="25">
        <v>1</v>
      </c>
    </row>
    <row r="16" spans="1:7" x14ac:dyDescent="0.3">
      <c r="A16" s="19">
        <v>15</v>
      </c>
      <c r="B16" s="2" t="s">
        <v>18</v>
      </c>
      <c r="C16" s="4">
        <v>5983</v>
      </c>
      <c r="D16" s="5">
        <v>2.2999999999999998</v>
      </c>
      <c r="E16" s="11">
        <f t="shared" si="0"/>
        <v>137.60900000000001</v>
      </c>
      <c r="F16" s="25">
        <v>3</v>
      </c>
    </row>
    <row r="17" spans="1:6" x14ac:dyDescent="0.3">
      <c r="A17" s="19">
        <v>16</v>
      </c>
      <c r="B17" s="2" t="s">
        <v>19</v>
      </c>
      <c r="C17" s="4">
        <v>12938</v>
      </c>
      <c r="D17" s="5">
        <v>1.62</v>
      </c>
      <c r="E17" s="11">
        <f t="shared" si="0"/>
        <v>209.59560000000002</v>
      </c>
      <c r="F17" s="25">
        <v>1</v>
      </c>
    </row>
    <row r="18" spans="1:6" ht="43.2" x14ac:dyDescent="0.3">
      <c r="A18" s="19">
        <v>17</v>
      </c>
      <c r="B18" s="3" t="s">
        <v>20</v>
      </c>
      <c r="C18" s="4">
        <v>13460</v>
      </c>
      <c r="D18" s="5">
        <v>2.2000000000000002</v>
      </c>
      <c r="E18" s="11">
        <f t="shared" si="0"/>
        <v>296.12000000000006</v>
      </c>
      <c r="F18" s="25">
        <v>1</v>
      </c>
    </row>
    <row r="19" spans="1:6" x14ac:dyDescent="0.3">
      <c r="A19" s="19">
        <v>18</v>
      </c>
      <c r="B19" s="2" t="s">
        <v>21</v>
      </c>
      <c r="C19" s="4">
        <v>1783</v>
      </c>
      <c r="D19" s="5">
        <v>1.29</v>
      </c>
      <c r="E19" s="11">
        <f t="shared" si="0"/>
        <v>23.000700000000002</v>
      </c>
      <c r="F19" s="25">
        <v>1</v>
      </c>
    </row>
    <row r="20" spans="1:6" ht="28.8" x14ac:dyDescent="0.3">
      <c r="A20" s="19">
        <v>19</v>
      </c>
      <c r="B20" s="3" t="s">
        <v>22</v>
      </c>
      <c r="C20" s="4">
        <v>9733</v>
      </c>
      <c r="D20" s="5">
        <v>1.3</v>
      </c>
      <c r="E20" s="11">
        <f t="shared" si="0"/>
        <v>126.529</v>
      </c>
      <c r="F20" s="25">
        <v>1</v>
      </c>
    </row>
    <row r="21" spans="1:6" ht="28.8" x14ac:dyDescent="0.3">
      <c r="A21" s="19">
        <v>20</v>
      </c>
      <c r="B21" s="3" t="s">
        <v>23</v>
      </c>
      <c r="C21" s="4">
        <v>1730</v>
      </c>
      <c r="D21" s="5">
        <v>9.1300000000000008</v>
      </c>
      <c r="E21" s="11">
        <f t="shared" si="0"/>
        <v>157.94900000000001</v>
      </c>
      <c r="F21" s="25">
        <v>1</v>
      </c>
    </row>
    <row r="22" spans="1:6" x14ac:dyDescent="0.3">
      <c r="A22" s="19">
        <v>21</v>
      </c>
      <c r="B22" s="3" t="s">
        <v>24</v>
      </c>
      <c r="C22" s="4">
        <v>3105</v>
      </c>
      <c r="D22" s="5">
        <v>3.64</v>
      </c>
      <c r="E22" s="11">
        <f t="shared" si="0"/>
        <v>113.02200000000001</v>
      </c>
      <c r="F22" s="25">
        <v>1</v>
      </c>
    </row>
    <row r="23" spans="1:6" x14ac:dyDescent="0.3">
      <c r="A23" s="19">
        <v>22</v>
      </c>
      <c r="B23" s="2" t="s">
        <v>25</v>
      </c>
      <c r="C23" s="4">
        <v>1744</v>
      </c>
      <c r="D23" s="5">
        <v>3.21</v>
      </c>
      <c r="E23" s="11">
        <f t="shared" si="0"/>
        <v>55.982399999999998</v>
      </c>
      <c r="F23" s="25">
        <v>1</v>
      </c>
    </row>
    <row r="24" spans="1:6" x14ac:dyDescent="0.3">
      <c r="A24" s="19">
        <v>23</v>
      </c>
      <c r="B24" s="2" t="s">
        <v>26</v>
      </c>
      <c r="C24" s="4">
        <v>11003</v>
      </c>
      <c r="D24" s="5">
        <v>1.1599999999999999</v>
      </c>
      <c r="E24" s="11">
        <f t="shared" si="0"/>
        <v>127.6348</v>
      </c>
      <c r="F24" s="25">
        <v>1</v>
      </c>
    </row>
    <row r="25" spans="1:6" x14ac:dyDescent="0.3">
      <c r="A25" s="19">
        <v>24</v>
      </c>
      <c r="B25" s="2" t="s">
        <v>27</v>
      </c>
      <c r="C25" s="4">
        <v>503</v>
      </c>
      <c r="D25" s="32">
        <v>15.7</v>
      </c>
      <c r="E25" s="33">
        <f t="shared" si="0"/>
        <v>78.970999999999989</v>
      </c>
      <c r="F25" s="25">
        <v>2</v>
      </c>
    </row>
    <row r="26" spans="1:6" x14ac:dyDescent="0.3">
      <c r="A26" s="19">
        <v>25</v>
      </c>
      <c r="B26" s="2" t="s">
        <v>28</v>
      </c>
      <c r="C26" s="4">
        <v>3037</v>
      </c>
      <c r="D26" s="5">
        <v>0.72</v>
      </c>
      <c r="E26" s="11">
        <f t="shared" si="0"/>
        <v>21.866399999999999</v>
      </c>
      <c r="F26" s="25">
        <v>1</v>
      </c>
    </row>
    <row r="27" spans="1:6" x14ac:dyDescent="0.3">
      <c r="A27" s="19">
        <v>26</v>
      </c>
      <c r="B27" s="2" t="s">
        <v>29</v>
      </c>
      <c r="C27" s="4">
        <v>920</v>
      </c>
      <c r="D27" s="5">
        <v>13.04</v>
      </c>
      <c r="E27" s="11">
        <f t="shared" si="0"/>
        <v>119.96799999999999</v>
      </c>
      <c r="F27" s="25">
        <v>2</v>
      </c>
    </row>
    <row r="28" spans="1:6" x14ac:dyDescent="0.3">
      <c r="A28" s="19">
        <v>27</v>
      </c>
      <c r="B28" s="2" t="s">
        <v>30</v>
      </c>
      <c r="C28" s="4">
        <v>10081</v>
      </c>
      <c r="D28" s="5">
        <v>0.53</v>
      </c>
      <c r="E28" s="11">
        <f t="shared" si="0"/>
        <v>53.429300000000005</v>
      </c>
      <c r="F28" s="25">
        <v>1</v>
      </c>
    </row>
    <row r="29" spans="1:6" ht="42" customHeight="1" x14ac:dyDescent="0.3">
      <c r="A29" s="19">
        <v>28</v>
      </c>
      <c r="B29" s="2" t="s">
        <v>31</v>
      </c>
      <c r="C29" s="31">
        <v>4933</v>
      </c>
      <c r="D29" s="32">
        <v>2.2000000000000002</v>
      </c>
      <c r="E29" s="33">
        <f t="shared" si="0"/>
        <v>108.52600000000001</v>
      </c>
      <c r="F29" s="25">
        <v>3</v>
      </c>
    </row>
    <row r="30" spans="1:6" x14ac:dyDescent="0.3">
      <c r="A30" s="19">
        <v>29</v>
      </c>
      <c r="B30" s="2" t="s">
        <v>32</v>
      </c>
      <c r="C30" s="4">
        <v>2512</v>
      </c>
      <c r="D30" s="5">
        <v>2.11</v>
      </c>
      <c r="E30" s="11">
        <f t="shared" si="0"/>
        <v>53.0032</v>
      </c>
      <c r="F30" s="25">
        <v>1</v>
      </c>
    </row>
    <row r="31" spans="1:6" x14ac:dyDescent="0.3">
      <c r="A31" s="19">
        <v>30</v>
      </c>
      <c r="B31" s="2" t="s">
        <v>33</v>
      </c>
      <c r="C31" s="4">
        <v>8807</v>
      </c>
      <c r="D31" s="5">
        <v>3.62</v>
      </c>
      <c r="E31" s="11">
        <f t="shared" si="0"/>
        <v>318.8134</v>
      </c>
      <c r="F31" s="25">
        <v>1</v>
      </c>
    </row>
    <row r="32" spans="1:6" x14ac:dyDescent="0.3">
      <c r="A32" s="19">
        <v>31</v>
      </c>
      <c r="B32" s="2" t="s">
        <v>34</v>
      </c>
      <c r="C32" s="4">
        <v>271</v>
      </c>
      <c r="D32" s="5">
        <v>8.86</v>
      </c>
      <c r="E32" s="11">
        <f t="shared" si="0"/>
        <v>24.0106</v>
      </c>
      <c r="F32" s="25">
        <v>4</v>
      </c>
    </row>
    <row r="33" spans="1:6" x14ac:dyDescent="0.3">
      <c r="A33" s="19">
        <v>32</v>
      </c>
      <c r="B33" s="2" t="s">
        <v>35</v>
      </c>
      <c r="C33" s="31">
        <v>5247</v>
      </c>
      <c r="D33" s="5">
        <v>4</v>
      </c>
      <c r="E33" s="11">
        <f t="shared" si="0"/>
        <v>209.88</v>
      </c>
      <c r="F33" s="25">
        <v>1</v>
      </c>
    </row>
    <row r="34" spans="1:6" x14ac:dyDescent="0.3">
      <c r="A34" s="19">
        <v>33</v>
      </c>
      <c r="B34" s="2" t="s">
        <v>36</v>
      </c>
      <c r="C34" s="4">
        <v>515</v>
      </c>
      <c r="D34" s="5">
        <v>3.11</v>
      </c>
      <c r="E34" s="11">
        <f t="shared" si="0"/>
        <v>16.016499999999997</v>
      </c>
      <c r="F34" s="25">
        <v>1</v>
      </c>
    </row>
    <row r="35" spans="1:6" x14ac:dyDescent="0.3">
      <c r="A35" s="19">
        <v>34</v>
      </c>
      <c r="B35" s="2" t="s">
        <v>37</v>
      </c>
      <c r="C35" s="4">
        <v>2921</v>
      </c>
      <c r="D35" s="5">
        <v>3.36</v>
      </c>
      <c r="E35" s="11">
        <f t="shared" si="0"/>
        <v>98.145600000000002</v>
      </c>
      <c r="F35" s="25">
        <v>1</v>
      </c>
    </row>
    <row r="36" spans="1:6" x14ac:dyDescent="0.3">
      <c r="A36" s="19">
        <v>35</v>
      </c>
      <c r="B36" s="2" t="s">
        <v>38</v>
      </c>
      <c r="C36" s="4">
        <v>1576</v>
      </c>
      <c r="D36" s="5">
        <v>21.76</v>
      </c>
      <c r="E36" s="11">
        <f t="shared" si="0"/>
        <v>342.93760000000003</v>
      </c>
      <c r="F36" s="25">
        <v>1</v>
      </c>
    </row>
    <row r="37" spans="1:6" x14ac:dyDescent="0.3">
      <c r="A37" s="19">
        <v>36</v>
      </c>
      <c r="B37" s="2" t="s">
        <v>39</v>
      </c>
      <c r="C37" s="4">
        <v>1071</v>
      </c>
      <c r="D37" s="5">
        <v>2.4300000000000002</v>
      </c>
      <c r="E37" s="11">
        <f t="shared" si="0"/>
        <v>26.025300000000001</v>
      </c>
      <c r="F37" s="25">
        <v>1</v>
      </c>
    </row>
    <row r="38" spans="1:6" x14ac:dyDescent="0.3">
      <c r="A38" s="19">
        <v>37</v>
      </c>
      <c r="B38" s="2" t="s">
        <v>40</v>
      </c>
      <c r="C38" s="4">
        <v>11931</v>
      </c>
      <c r="D38" s="5">
        <v>4.43</v>
      </c>
      <c r="E38" s="11">
        <f t="shared" si="0"/>
        <v>528.54329999999993</v>
      </c>
      <c r="F38" s="25">
        <v>1</v>
      </c>
    </row>
    <row r="39" spans="1:6" x14ac:dyDescent="0.3">
      <c r="A39" s="19">
        <v>38</v>
      </c>
      <c r="B39" s="2" t="s">
        <v>41</v>
      </c>
      <c r="C39" s="4">
        <v>654</v>
      </c>
      <c r="D39" s="5">
        <v>4.74</v>
      </c>
      <c r="E39" s="11">
        <f t="shared" si="0"/>
        <v>30.999600000000001</v>
      </c>
      <c r="F39" s="25">
        <v>2</v>
      </c>
    </row>
    <row r="40" spans="1:6" x14ac:dyDescent="0.3">
      <c r="A40" s="19">
        <v>39</v>
      </c>
      <c r="B40" s="2" t="s">
        <v>42</v>
      </c>
      <c r="C40" s="4">
        <v>1247</v>
      </c>
      <c r="D40" s="5">
        <v>2.8</v>
      </c>
      <c r="E40" s="11">
        <f t="shared" si="0"/>
        <v>34.915999999999997</v>
      </c>
      <c r="F40" s="25">
        <v>2</v>
      </c>
    </row>
    <row r="41" spans="1:6" x14ac:dyDescent="0.3">
      <c r="A41" s="19">
        <v>40</v>
      </c>
      <c r="B41" s="2" t="s">
        <v>42</v>
      </c>
      <c r="C41" s="4">
        <v>1899</v>
      </c>
      <c r="D41" s="5">
        <v>2.7</v>
      </c>
      <c r="E41" s="11">
        <f t="shared" si="0"/>
        <v>51.273000000000003</v>
      </c>
      <c r="F41" s="25">
        <v>2</v>
      </c>
    </row>
    <row r="42" spans="1:6" x14ac:dyDescent="0.3">
      <c r="A42" s="19">
        <v>41</v>
      </c>
      <c r="B42" s="2" t="s">
        <v>42</v>
      </c>
      <c r="C42" s="4">
        <v>10009</v>
      </c>
      <c r="D42" s="5">
        <v>2.6</v>
      </c>
      <c r="E42" s="11">
        <f t="shared" si="0"/>
        <v>260.23400000000004</v>
      </c>
      <c r="F42" s="25">
        <v>2</v>
      </c>
    </row>
    <row r="43" spans="1:6" x14ac:dyDescent="0.3">
      <c r="A43" s="19">
        <v>42</v>
      </c>
      <c r="B43" s="2" t="s">
        <v>42</v>
      </c>
      <c r="C43" s="4">
        <v>5777</v>
      </c>
      <c r="D43" s="5">
        <v>1.2</v>
      </c>
      <c r="E43" s="11">
        <f t="shared" si="0"/>
        <v>69.323999999999998</v>
      </c>
      <c r="F43" s="25">
        <v>2</v>
      </c>
    </row>
    <row r="44" spans="1:6" x14ac:dyDescent="0.3">
      <c r="A44" s="19">
        <v>43</v>
      </c>
      <c r="B44" s="2" t="s">
        <v>43</v>
      </c>
      <c r="C44" s="4">
        <v>2024</v>
      </c>
      <c r="D44" s="5">
        <v>5.88</v>
      </c>
      <c r="E44" s="11">
        <f t="shared" si="0"/>
        <v>119.01119999999999</v>
      </c>
      <c r="F44" s="25">
        <v>1</v>
      </c>
    </row>
    <row r="45" spans="1:6" x14ac:dyDescent="0.3">
      <c r="A45" s="19">
        <v>44</v>
      </c>
      <c r="B45" s="2" t="s">
        <v>44</v>
      </c>
      <c r="C45" s="4">
        <v>1489</v>
      </c>
      <c r="D45" s="5">
        <v>2.48</v>
      </c>
      <c r="E45" s="11">
        <f t="shared" si="0"/>
        <v>36.927199999999999</v>
      </c>
      <c r="F45" s="25">
        <v>1</v>
      </c>
    </row>
    <row r="46" spans="1:6" x14ac:dyDescent="0.3">
      <c r="A46" s="19">
        <v>45</v>
      </c>
      <c r="B46" s="2" t="s">
        <v>45</v>
      </c>
      <c r="C46" s="4">
        <v>1531</v>
      </c>
      <c r="D46" s="5">
        <v>5.75</v>
      </c>
      <c r="E46" s="11">
        <f t="shared" si="0"/>
        <v>88.032499999999999</v>
      </c>
      <c r="F46" s="25">
        <v>2</v>
      </c>
    </row>
    <row r="47" spans="1:6" x14ac:dyDescent="0.3">
      <c r="A47" s="19">
        <v>46</v>
      </c>
      <c r="B47" s="2" t="s">
        <v>46</v>
      </c>
      <c r="C47" s="4">
        <v>402</v>
      </c>
      <c r="D47" s="5">
        <v>8.9600000000000009</v>
      </c>
      <c r="E47" s="11">
        <f t="shared" si="0"/>
        <v>36.019200000000005</v>
      </c>
      <c r="F47" s="25">
        <v>2</v>
      </c>
    </row>
    <row r="48" spans="1:6" x14ac:dyDescent="0.3">
      <c r="A48" s="19">
        <v>47</v>
      </c>
      <c r="B48" s="2" t="s">
        <v>47</v>
      </c>
      <c r="C48" s="4">
        <v>3967</v>
      </c>
      <c r="D48" s="5">
        <v>1.94</v>
      </c>
      <c r="E48" s="11">
        <f t="shared" si="0"/>
        <v>76.959800000000001</v>
      </c>
      <c r="F48" s="25">
        <v>1</v>
      </c>
    </row>
    <row r="49" spans="1:6" x14ac:dyDescent="0.3">
      <c r="A49" s="19">
        <v>48</v>
      </c>
      <c r="B49" s="2" t="s">
        <v>48</v>
      </c>
      <c r="C49" s="4">
        <v>2110</v>
      </c>
      <c r="D49" s="5">
        <v>9.48</v>
      </c>
      <c r="E49" s="11">
        <f t="shared" si="0"/>
        <v>200.02799999999999</v>
      </c>
      <c r="F49" s="25">
        <v>1</v>
      </c>
    </row>
    <row r="50" spans="1:6" x14ac:dyDescent="0.3">
      <c r="A50" s="19">
        <v>49</v>
      </c>
      <c r="B50" s="2" t="s">
        <v>49</v>
      </c>
      <c r="C50" s="4">
        <v>985</v>
      </c>
      <c r="D50" s="5">
        <v>14.42</v>
      </c>
      <c r="E50" s="11">
        <f t="shared" si="0"/>
        <v>142.03700000000001</v>
      </c>
      <c r="F50" s="25">
        <v>1</v>
      </c>
    </row>
    <row r="51" spans="1:6" ht="28.8" x14ac:dyDescent="0.3">
      <c r="A51" s="19">
        <v>50</v>
      </c>
      <c r="B51" s="3" t="s">
        <v>50</v>
      </c>
      <c r="C51" s="4">
        <v>538</v>
      </c>
      <c r="D51" s="5">
        <v>9.76</v>
      </c>
      <c r="E51" s="11">
        <f t="shared" si="0"/>
        <v>52.508800000000001</v>
      </c>
      <c r="F51" s="25">
        <v>2</v>
      </c>
    </row>
    <row r="52" spans="1:6" x14ac:dyDescent="0.3">
      <c r="A52" s="19">
        <v>51</v>
      </c>
      <c r="B52" s="2" t="s">
        <v>51</v>
      </c>
      <c r="C52" s="4">
        <v>8110</v>
      </c>
      <c r="D52" s="5">
        <v>3.14</v>
      </c>
      <c r="E52" s="11">
        <f t="shared" si="0"/>
        <v>254.65400000000002</v>
      </c>
      <c r="F52" s="25">
        <v>4</v>
      </c>
    </row>
    <row r="53" spans="1:6" ht="28.8" x14ac:dyDescent="0.3">
      <c r="A53" s="19">
        <v>52</v>
      </c>
      <c r="B53" s="3" t="s">
        <v>52</v>
      </c>
      <c r="C53" s="4">
        <v>2055</v>
      </c>
      <c r="D53" s="5">
        <v>1.22</v>
      </c>
      <c r="E53" s="11">
        <f t="shared" si="0"/>
        <v>25.070999999999998</v>
      </c>
      <c r="F53" s="25">
        <v>1</v>
      </c>
    </row>
    <row r="54" spans="1:6" ht="15" thickBot="1" x14ac:dyDescent="0.35">
      <c r="A54" s="20">
        <v>53</v>
      </c>
      <c r="B54" s="12" t="s">
        <v>53</v>
      </c>
      <c r="C54" s="13">
        <v>4442</v>
      </c>
      <c r="D54" s="14">
        <v>2.39</v>
      </c>
      <c r="E54" s="15">
        <f t="shared" si="0"/>
        <v>106.16380000000001</v>
      </c>
      <c r="F54" s="27">
        <v>1</v>
      </c>
    </row>
    <row r="56" spans="1:6" x14ac:dyDescent="0.3">
      <c r="B56" s="28"/>
      <c r="C56" s="1"/>
      <c r="D56" s="1"/>
    </row>
    <row r="58" spans="1:6" x14ac:dyDescent="0.3">
      <c r="B58" s="28"/>
    </row>
    <row r="59" spans="1:6" x14ac:dyDescent="0.3">
      <c r="B59" s="28"/>
    </row>
    <row r="60" spans="1:6" x14ac:dyDescent="0.3">
      <c r="B60" s="28"/>
      <c r="C60" s="29"/>
    </row>
    <row r="63" spans="1:6" x14ac:dyDescent="0.3">
      <c r="B63" s="28"/>
      <c r="C63" s="30"/>
    </row>
    <row r="64" spans="1:6" x14ac:dyDescent="0.3">
      <c r="B64" s="28"/>
      <c r="C64" s="30"/>
    </row>
    <row r="65" spans="2:3" x14ac:dyDescent="0.3">
      <c r="B65" s="28"/>
      <c r="C65" s="2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1920-4E87-4BF7-A5D0-735DABE6C974}">
  <dimension ref="A1:I65"/>
  <sheetViews>
    <sheetView tabSelected="1" topLeftCell="A21" workbookViewId="0">
      <selection activeCell="I42" sqref="I42"/>
    </sheetView>
  </sheetViews>
  <sheetFormatPr defaultColWidth="8.77734375" defaultRowHeight="14.4" x14ac:dyDescent="0.3"/>
  <cols>
    <col min="1" max="1" width="3" bestFit="1" customWidth="1"/>
    <col min="2" max="2" width="21.5546875" bestFit="1" customWidth="1"/>
    <col min="3" max="3" width="11.5546875" customWidth="1"/>
    <col min="4" max="4" width="10.88671875" customWidth="1"/>
    <col min="5" max="5" width="9.6640625" bestFit="1" customWidth="1"/>
    <col min="6" max="6" width="4.88671875" bestFit="1" customWidth="1"/>
    <col min="8" max="8" width="12.33203125" customWidth="1"/>
    <col min="9" max="9" width="38.77734375" customWidth="1"/>
  </cols>
  <sheetData>
    <row r="1" spans="1:9" ht="15" thickBot="1" x14ac:dyDescent="0.35">
      <c r="A1" s="9" t="s">
        <v>0</v>
      </c>
      <c r="B1" s="9" t="s">
        <v>1</v>
      </c>
      <c r="C1" s="9" t="s">
        <v>2</v>
      </c>
      <c r="D1" s="9" t="s">
        <v>54</v>
      </c>
      <c r="E1" s="9" t="s">
        <v>3</v>
      </c>
      <c r="F1" s="21" t="s">
        <v>56</v>
      </c>
    </row>
    <row r="2" spans="1:9" x14ac:dyDescent="0.3">
      <c r="A2" s="18">
        <v>1</v>
      </c>
      <c r="B2" s="6" t="s">
        <v>4</v>
      </c>
      <c r="C2" s="7">
        <v>2826</v>
      </c>
      <c r="D2" s="8">
        <v>8.5299999999999994</v>
      </c>
      <c r="E2" s="10">
        <f>C2*D2/100</f>
        <v>241.05779999999999</v>
      </c>
      <c r="F2" s="24">
        <v>1</v>
      </c>
      <c r="G2" s="1"/>
    </row>
    <row r="3" spans="1:9" x14ac:dyDescent="0.3">
      <c r="A3" s="19">
        <v>2</v>
      </c>
      <c r="B3" s="2" t="s">
        <v>5</v>
      </c>
      <c r="C3" s="4">
        <v>15168</v>
      </c>
      <c r="D3" s="5">
        <v>1.7</v>
      </c>
      <c r="E3" s="11">
        <f t="shared" ref="E3:E54" si="0">C3*D3/100</f>
        <v>257.85599999999999</v>
      </c>
      <c r="F3" s="25">
        <v>1</v>
      </c>
      <c r="H3" t="s">
        <v>57</v>
      </c>
      <c r="I3" s="34" t="s">
        <v>58</v>
      </c>
    </row>
    <row r="4" spans="1:9" x14ac:dyDescent="0.3">
      <c r="A4" s="19">
        <v>3</v>
      </c>
      <c r="B4" s="2" t="s">
        <v>6</v>
      </c>
      <c r="C4" s="4">
        <v>8299</v>
      </c>
      <c r="D4" s="5">
        <v>1.04</v>
      </c>
      <c r="E4" s="11">
        <f t="shared" si="0"/>
        <v>86.309600000000003</v>
      </c>
      <c r="F4" s="25">
        <v>4</v>
      </c>
    </row>
    <row r="5" spans="1:9" x14ac:dyDescent="0.3">
      <c r="A5" s="19">
        <v>4</v>
      </c>
      <c r="B5" s="2" t="s">
        <v>7</v>
      </c>
      <c r="C5" s="4">
        <v>816</v>
      </c>
      <c r="D5" s="22">
        <v>0.61</v>
      </c>
      <c r="E5" s="11">
        <f t="shared" si="0"/>
        <v>4.9775999999999998</v>
      </c>
      <c r="F5" s="25">
        <v>1</v>
      </c>
    </row>
    <row r="6" spans="1:9" x14ac:dyDescent="0.3">
      <c r="A6" s="19">
        <v>5</v>
      </c>
      <c r="B6" s="2" t="s">
        <v>8</v>
      </c>
      <c r="C6" s="4">
        <v>1320</v>
      </c>
      <c r="D6" s="5">
        <v>4.24</v>
      </c>
      <c r="E6" s="11">
        <f t="shared" si="0"/>
        <v>55.968000000000004</v>
      </c>
      <c r="F6" s="26">
        <v>4</v>
      </c>
    </row>
    <row r="7" spans="1:9" x14ac:dyDescent="0.3">
      <c r="A7" s="19">
        <v>6</v>
      </c>
      <c r="B7" s="2" t="s">
        <v>9</v>
      </c>
      <c r="C7" s="4">
        <v>600</v>
      </c>
      <c r="D7" s="5">
        <v>2.17</v>
      </c>
      <c r="E7" s="11">
        <f t="shared" si="0"/>
        <v>13.02</v>
      </c>
      <c r="F7" s="25">
        <v>2</v>
      </c>
    </row>
    <row r="8" spans="1:9" x14ac:dyDescent="0.3">
      <c r="A8" s="19">
        <v>7</v>
      </c>
      <c r="B8" s="2" t="s">
        <v>10</v>
      </c>
      <c r="C8" s="4">
        <v>5003</v>
      </c>
      <c r="D8" s="5">
        <v>5.5</v>
      </c>
      <c r="E8" s="11">
        <f t="shared" si="0"/>
        <v>275.16500000000002</v>
      </c>
      <c r="F8" s="25">
        <v>1</v>
      </c>
    </row>
    <row r="9" spans="1:9" x14ac:dyDescent="0.3">
      <c r="A9" s="19">
        <v>8</v>
      </c>
      <c r="B9" s="2" t="s">
        <v>11</v>
      </c>
      <c r="C9" s="4">
        <v>1332</v>
      </c>
      <c r="D9" s="5">
        <v>2.7</v>
      </c>
      <c r="E9" s="11">
        <f t="shared" si="0"/>
        <v>35.963999999999999</v>
      </c>
      <c r="F9" s="25">
        <v>2</v>
      </c>
    </row>
    <row r="10" spans="1:9" x14ac:dyDescent="0.3">
      <c r="A10" s="19">
        <v>9</v>
      </c>
      <c r="B10" s="2" t="s">
        <v>12</v>
      </c>
      <c r="C10" s="4">
        <v>4382</v>
      </c>
      <c r="D10" s="5">
        <v>0.16</v>
      </c>
      <c r="E10" s="11">
        <f t="shared" si="0"/>
        <v>7.0111999999999997</v>
      </c>
      <c r="F10" s="25">
        <v>4</v>
      </c>
    </row>
    <row r="11" spans="1:9" x14ac:dyDescent="0.3">
      <c r="A11" s="19">
        <v>10</v>
      </c>
      <c r="B11" s="2" t="s">
        <v>13</v>
      </c>
      <c r="C11" s="4">
        <v>4875</v>
      </c>
      <c r="D11" s="5">
        <v>4.33</v>
      </c>
      <c r="E11" s="11">
        <f t="shared" si="0"/>
        <v>211.08750000000001</v>
      </c>
      <c r="F11" s="25">
        <v>4</v>
      </c>
    </row>
    <row r="12" spans="1:9" x14ac:dyDescent="0.3">
      <c r="A12" s="19">
        <v>11</v>
      </c>
      <c r="B12" s="2" t="s">
        <v>14</v>
      </c>
      <c r="C12" s="4">
        <v>5045</v>
      </c>
      <c r="D12" s="5">
        <v>4.5999999999999996</v>
      </c>
      <c r="E12" s="11">
        <f t="shared" si="0"/>
        <v>232.07</v>
      </c>
      <c r="F12" s="25">
        <v>4</v>
      </c>
    </row>
    <row r="13" spans="1:9" x14ac:dyDescent="0.3">
      <c r="A13" s="19">
        <v>12</v>
      </c>
      <c r="B13" s="2" t="s">
        <v>15</v>
      </c>
      <c r="C13" s="23">
        <v>1401</v>
      </c>
      <c r="D13" s="5">
        <v>7.71</v>
      </c>
      <c r="E13" s="11">
        <f t="shared" si="0"/>
        <v>108.01709999999999</v>
      </c>
      <c r="F13" s="25">
        <v>4</v>
      </c>
    </row>
    <row r="14" spans="1:9" x14ac:dyDescent="0.3">
      <c r="A14" s="19">
        <v>13</v>
      </c>
      <c r="B14" s="2" t="s">
        <v>16</v>
      </c>
      <c r="C14" s="4">
        <v>3338</v>
      </c>
      <c r="D14" s="5">
        <v>1.89</v>
      </c>
      <c r="E14" s="11">
        <f t="shared" si="0"/>
        <v>63.088200000000001</v>
      </c>
      <c r="F14" s="25">
        <v>1</v>
      </c>
    </row>
    <row r="15" spans="1:9" x14ac:dyDescent="0.3">
      <c r="A15" s="19">
        <v>14</v>
      </c>
      <c r="B15" s="2" t="s">
        <v>17</v>
      </c>
      <c r="C15" s="4">
        <v>8478</v>
      </c>
      <c r="D15" s="5">
        <v>2.41</v>
      </c>
      <c r="E15" s="11">
        <f t="shared" si="0"/>
        <v>204.31979999999999</v>
      </c>
      <c r="F15" s="25">
        <v>1</v>
      </c>
    </row>
    <row r="16" spans="1:9" x14ac:dyDescent="0.3">
      <c r="A16" s="19">
        <v>15</v>
      </c>
      <c r="B16" s="2" t="s">
        <v>18</v>
      </c>
      <c r="C16" s="4">
        <v>5983</v>
      </c>
      <c r="D16" s="5">
        <v>2.2999999999999998</v>
      </c>
      <c r="E16" s="11">
        <f t="shared" si="0"/>
        <v>137.60900000000001</v>
      </c>
      <c r="F16" s="25">
        <v>3</v>
      </c>
    </row>
    <row r="17" spans="1:6" x14ac:dyDescent="0.3">
      <c r="A17" s="19">
        <v>16</v>
      </c>
      <c r="B17" s="2" t="s">
        <v>19</v>
      </c>
      <c r="C17" s="4">
        <v>12938</v>
      </c>
      <c r="D17" s="5">
        <v>1.62</v>
      </c>
      <c r="E17" s="11">
        <f t="shared" si="0"/>
        <v>209.59560000000002</v>
      </c>
      <c r="F17" s="25">
        <v>1</v>
      </c>
    </row>
    <row r="18" spans="1:6" ht="43.2" x14ac:dyDescent="0.3">
      <c r="A18" s="19">
        <v>17</v>
      </c>
      <c r="B18" s="3" t="s">
        <v>20</v>
      </c>
      <c r="C18" s="4">
        <v>13460</v>
      </c>
      <c r="D18" s="5">
        <v>2.2000000000000002</v>
      </c>
      <c r="E18" s="11">
        <f t="shared" si="0"/>
        <v>296.12000000000006</v>
      </c>
      <c r="F18" s="25">
        <v>1</v>
      </c>
    </row>
    <row r="19" spans="1:6" x14ac:dyDescent="0.3">
      <c r="A19" s="19">
        <v>18</v>
      </c>
      <c r="B19" s="2" t="s">
        <v>21</v>
      </c>
      <c r="C19" s="4">
        <v>1783</v>
      </c>
      <c r="D19" s="5">
        <v>1.29</v>
      </c>
      <c r="E19" s="11">
        <f t="shared" si="0"/>
        <v>23.000700000000002</v>
      </c>
      <c r="F19" s="25">
        <v>1</v>
      </c>
    </row>
    <row r="20" spans="1:6" ht="28.8" x14ac:dyDescent="0.3">
      <c r="A20" s="19">
        <v>19</v>
      </c>
      <c r="B20" s="3" t="s">
        <v>22</v>
      </c>
      <c r="C20" s="4">
        <v>9733</v>
      </c>
      <c r="D20" s="5">
        <v>1.3</v>
      </c>
      <c r="E20" s="11">
        <f t="shared" si="0"/>
        <v>126.529</v>
      </c>
      <c r="F20" s="25">
        <v>1</v>
      </c>
    </row>
    <row r="21" spans="1:6" ht="28.8" x14ac:dyDescent="0.3">
      <c r="A21" s="19">
        <v>20</v>
      </c>
      <c r="B21" s="3" t="s">
        <v>23</v>
      </c>
      <c r="C21" s="4">
        <v>1730</v>
      </c>
      <c r="D21" s="5">
        <v>9.1300000000000008</v>
      </c>
      <c r="E21" s="11">
        <f t="shared" si="0"/>
        <v>157.94900000000001</v>
      </c>
      <c r="F21" s="25">
        <v>1</v>
      </c>
    </row>
    <row r="22" spans="1:6" x14ac:dyDescent="0.3">
      <c r="A22" s="19">
        <v>21</v>
      </c>
      <c r="B22" s="3" t="s">
        <v>24</v>
      </c>
      <c r="C22" s="4">
        <v>3105</v>
      </c>
      <c r="D22" s="5">
        <v>3.64</v>
      </c>
      <c r="E22" s="11">
        <f t="shared" si="0"/>
        <v>113.02200000000001</v>
      </c>
      <c r="F22" s="25">
        <v>1</v>
      </c>
    </row>
    <row r="23" spans="1:6" x14ac:dyDescent="0.3">
      <c r="A23" s="19">
        <v>22</v>
      </c>
      <c r="B23" s="2" t="s">
        <v>25</v>
      </c>
      <c r="C23" s="4">
        <v>1744</v>
      </c>
      <c r="D23" s="5">
        <v>3.21</v>
      </c>
      <c r="E23" s="11">
        <f t="shared" si="0"/>
        <v>55.982399999999998</v>
      </c>
      <c r="F23" s="25">
        <v>1</v>
      </c>
    </row>
    <row r="24" spans="1:6" x14ac:dyDescent="0.3">
      <c r="A24" s="19">
        <v>23</v>
      </c>
      <c r="B24" s="2" t="s">
        <v>26</v>
      </c>
      <c r="C24" s="4">
        <v>11003</v>
      </c>
      <c r="D24" s="5">
        <v>1.1599999999999999</v>
      </c>
      <c r="E24" s="11">
        <f t="shared" si="0"/>
        <v>127.6348</v>
      </c>
      <c r="F24" s="25">
        <v>1</v>
      </c>
    </row>
    <row r="25" spans="1:6" x14ac:dyDescent="0.3">
      <c r="A25" s="19">
        <v>24</v>
      </c>
      <c r="B25" s="2" t="s">
        <v>27</v>
      </c>
      <c r="C25" s="4">
        <v>503</v>
      </c>
      <c r="D25" s="32">
        <v>15.7</v>
      </c>
      <c r="E25" s="33">
        <f t="shared" si="0"/>
        <v>78.970999999999989</v>
      </c>
      <c r="F25" s="25">
        <v>2</v>
      </c>
    </row>
    <row r="26" spans="1:6" x14ac:dyDescent="0.3">
      <c r="A26" s="19">
        <v>25</v>
      </c>
      <c r="B26" s="2" t="s">
        <v>28</v>
      </c>
      <c r="C26" s="4">
        <v>3037</v>
      </c>
      <c r="D26" s="5">
        <v>0.72</v>
      </c>
      <c r="E26" s="11">
        <f t="shared" si="0"/>
        <v>21.866399999999999</v>
      </c>
      <c r="F26" s="25">
        <v>1</v>
      </c>
    </row>
    <row r="27" spans="1:6" x14ac:dyDescent="0.3">
      <c r="A27" s="19">
        <v>26</v>
      </c>
      <c r="B27" s="2" t="s">
        <v>29</v>
      </c>
      <c r="C27" s="4">
        <v>920</v>
      </c>
      <c r="D27" s="5">
        <v>13.04</v>
      </c>
      <c r="E27" s="11">
        <f t="shared" si="0"/>
        <v>119.96799999999999</v>
      </c>
      <c r="F27" s="25">
        <v>2</v>
      </c>
    </row>
    <row r="28" spans="1:6" x14ac:dyDescent="0.3">
      <c r="A28" s="19">
        <v>27</v>
      </c>
      <c r="B28" s="2" t="s">
        <v>30</v>
      </c>
      <c r="C28" s="4">
        <v>10081</v>
      </c>
      <c r="D28" s="5">
        <v>0.53</v>
      </c>
      <c r="E28" s="11">
        <f t="shared" si="0"/>
        <v>53.429300000000005</v>
      </c>
      <c r="F28" s="25">
        <v>1</v>
      </c>
    </row>
    <row r="29" spans="1:6" ht="42" customHeight="1" x14ac:dyDescent="0.3">
      <c r="A29" s="19">
        <v>28</v>
      </c>
      <c r="B29" s="2" t="s">
        <v>31</v>
      </c>
      <c r="C29" s="31">
        <v>4933</v>
      </c>
      <c r="D29" s="32">
        <v>2.2000000000000002</v>
      </c>
      <c r="E29" s="33">
        <f t="shared" si="0"/>
        <v>108.52600000000001</v>
      </c>
      <c r="F29" s="25">
        <v>3</v>
      </c>
    </row>
    <row r="30" spans="1:6" x14ac:dyDescent="0.3">
      <c r="A30" s="19">
        <v>29</v>
      </c>
      <c r="B30" s="2" t="s">
        <v>32</v>
      </c>
      <c r="C30" s="4">
        <v>2512</v>
      </c>
      <c r="D30" s="5">
        <v>2.11</v>
      </c>
      <c r="E30" s="11">
        <f t="shared" si="0"/>
        <v>53.0032</v>
      </c>
      <c r="F30" s="25">
        <v>1</v>
      </c>
    </row>
    <row r="31" spans="1:6" x14ac:dyDescent="0.3">
      <c r="A31" s="19">
        <v>30</v>
      </c>
      <c r="B31" s="2" t="s">
        <v>33</v>
      </c>
      <c r="C31" s="4">
        <v>8807</v>
      </c>
      <c r="D31" s="5">
        <v>3.62</v>
      </c>
      <c r="E31" s="11">
        <f t="shared" si="0"/>
        <v>318.8134</v>
      </c>
      <c r="F31" s="25">
        <v>1</v>
      </c>
    </row>
    <row r="32" spans="1:6" x14ac:dyDescent="0.3">
      <c r="A32" s="19">
        <v>31</v>
      </c>
      <c r="B32" s="2" t="s">
        <v>34</v>
      </c>
      <c r="C32" s="4">
        <v>271</v>
      </c>
      <c r="D32" s="5">
        <v>8.86</v>
      </c>
      <c r="E32" s="11">
        <f t="shared" si="0"/>
        <v>24.0106</v>
      </c>
      <c r="F32" s="25">
        <v>4</v>
      </c>
    </row>
    <row r="33" spans="1:6" x14ac:dyDescent="0.3">
      <c r="A33" s="19">
        <v>32</v>
      </c>
      <c r="B33" s="2" t="s">
        <v>35</v>
      </c>
      <c r="C33" s="31">
        <v>5247</v>
      </c>
      <c r="D33" s="5">
        <v>4</v>
      </c>
      <c r="E33" s="11">
        <f t="shared" si="0"/>
        <v>209.88</v>
      </c>
      <c r="F33" s="25">
        <v>1</v>
      </c>
    </row>
    <row r="34" spans="1:6" x14ac:dyDescent="0.3">
      <c r="A34" s="19">
        <v>33</v>
      </c>
      <c r="B34" s="2" t="s">
        <v>36</v>
      </c>
      <c r="C34" s="4">
        <v>515</v>
      </c>
      <c r="D34" s="5">
        <v>3.11</v>
      </c>
      <c r="E34" s="11">
        <f t="shared" si="0"/>
        <v>16.016499999999997</v>
      </c>
      <c r="F34" s="25">
        <v>1</v>
      </c>
    </row>
    <row r="35" spans="1:6" x14ac:dyDescent="0.3">
      <c r="A35" s="19">
        <v>34</v>
      </c>
      <c r="B35" s="2" t="s">
        <v>37</v>
      </c>
      <c r="C35" s="4">
        <v>2921</v>
      </c>
      <c r="D35" s="5">
        <v>3.36</v>
      </c>
      <c r="E35" s="11">
        <f t="shared" si="0"/>
        <v>98.145600000000002</v>
      </c>
      <c r="F35" s="25">
        <v>1</v>
      </c>
    </row>
    <row r="36" spans="1:6" x14ac:dyDescent="0.3">
      <c r="A36" s="19">
        <v>35</v>
      </c>
      <c r="B36" s="2" t="s">
        <v>38</v>
      </c>
      <c r="C36" s="4">
        <v>1576</v>
      </c>
      <c r="D36" s="5">
        <v>21.76</v>
      </c>
      <c r="E36" s="11">
        <f t="shared" si="0"/>
        <v>342.93760000000003</v>
      </c>
      <c r="F36" s="25">
        <v>1</v>
      </c>
    </row>
    <row r="37" spans="1:6" x14ac:dyDescent="0.3">
      <c r="A37" s="19">
        <v>36</v>
      </c>
      <c r="B37" s="2" t="s">
        <v>39</v>
      </c>
      <c r="C37" s="4">
        <v>1071</v>
      </c>
      <c r="D37" s="5">
        <v>2.4300000000000002</v>
      </c>
      <c r="E37" s="11">
        <f t="shared" si="0"/>
        <v>26.025300000000001</v>
      </c>
      <c r="F37" s="25">
        <v>1</v>
      </c>
    </row>
    <row r="38" spans="1:6" x14ac:dyDescent="0.3">
      <c r="A38" s="19">
        <v>37</v>
      </c>
      <c r="B38" s="2" t="s">
        <v>40</v>
      </c>
      <c r="C38" s="4">
        <v>11931</v>
      </c>
      <c r="D38" s="5">
        <v>4.43</v>
      </c>
      <c r="E38" s="11">
        <f t="shared" si="0"/>
        <v>528.54329999999993</v>
      </c>
      <c r="F38" s="25">
        <v>1</v>
      </c>
    </row>
    <row r="39" spans="1:6" x14ac:dyDescent="0.3">
      <c r="A39" s="19">
        <v>38</v>
      </c>
      <c r="B39" s="2" t="s">
        <v>41</v>
      </c>
      <c r="C39" s="4">
        <v>654</v>
      </c>
      <c r="D39" s="5">
        <v>4.74</v>
      </c>
      <c r="E39" s="11">
        <f t="shared" si="0"/>
        <v>30.999600000000001</v>
      </c>
      <c r="F39" s="25">
        <v>2</v>
      </c>
    </row>
    <row r="40" spans="1:6" x14ac:dyDescent="0.3">
      <c r="A40" s="19">
        <v>39</v>
      </c>
      <c r="B40" s="2" t="s">
        <v>42</v>
      </c>
      <c r="C40" s="4">
        <v>1247</v>
      </c>
      <c r="D40" s="5">
        <v>2.8</v>
      </c>
      <c r="E40" s="11">
        <f t="shared" si="0"/>
        <v>34.915999999999997</v>
      </c>
      <c r="F40" s="25">
        <v>2</v>
      </c>
    </row>
    <row r="41" spans="1:6" x14ac:dyDescent="0.3">
      <c r="A41" s="19">
        <v>40</v>
      </c>
      <c r="B41" s="2" t="s">
        <v>42</v>
      </c>
      <c r="C41" s="4">
        <v>1899</v>
      </c>
      <c r="D41" s="5">
        <v>2.7</v>
      </c>
      <c r="E41" s="11">
        <f t="shared" si="0"/>
        <v>51.273000000000003</v>
      </c>
      <c r="F41" s="25">
        <v>2</v>
      </c>
    </row>
    <row r="42" spans="1:6" x14ac:dyDescent="0.3">
      <c r="A42" s="19">
        <v>41</v>
      </c>
      <c r="B42" s="2" t="s">
        <v>42</v>
      </c>
      <c r="C42" s="4">
        <v>10009</v>
      </c>
      <c r="D42" s="5">
        <v>2.6</v>
      </c>
      <c r="E42" s="11">
        <f t="shared" si="0"/>
        <v>260.23400000000004</v>
      </c>
      <c r="F42" s="25">
        <v>2</v>
      </c>
    </row>
    <row r="43" spans="1:6" x14ac:dyDescent="0.3">
      <c r="A43" s="19">
        <v>42</v>
      </c>
      <c r="B43" s="2" t="s">
        <v>42</v>
      </c>
      <c r="C43" s="4">
        <v>5777</v>
      </c>
      <c r="D43" s="5">
        <v>1.2</v>
      </c>
      <c r="E43" s="11">
        <f t="shared" si="0"/>
        <v>69.323999999999998</v>
      </c>
      <c r="F43" s="25">
        <v>2</v>
      </c>
    </row>
    <row r="44" spans="1:6" x14ac:dyDescent="0.3">
      <c r="A44" s="19">
        <v>43</v>
      </c>
      <c r="B44" s="2" t="s">
        <v>43</v>
      </c>
      <c r="C44" s="4">
        <v>2024</v>
      </c>
      <c r="D44" s="5">
        <v>5.88</v>
      </c>
      <c r="E44" s="11">
        <f t="shared" si="0"/>
        <v>119.01119999999999</v>
      </c>
      <c r="F44" s="25">
        <v>1</v>
      </c>
    </row>
    <row r="45" spans="1:6" x14ac:dyDescent="0.3">
      <c r="A45" s="19">
        <v>44</v>
      </c>
      <c r="B45" s="2" t="s">
        <v>44</v>
      </c>
      <c r="C45" s="4">
        <v>1489</v>
      </c>
      <c r="D45" s="5">
        <v>2.48</v>
      </c>
      <c r="E45" s="11">
        <f t="shared" si="0"/>
        <v>36.927199999999999</v>
      </c>
      <c r="F45" s="25">
        <v>1</v>
      </c>
    </row>
    <row r="46" spans="1:6" x14ac:dyDescent="0.3">
      <c r="A46" s="19">
        <v>45</v>
      </c>
      <c r="B46" s="2" t="s">
        <v>45</v>
      </c>
      <c r="C46" s="4">
        <v>1531</v>
      </c>
      <c r="D46" s="5">
        <v>5.75</v>
      </c>
      <c r="E46" s="11">
        <f t="shared" si="0"/>
        <v>88.032499999999999</v>
      </c>
      <c r="F46" s="25">
        <v>2</v>
      </c>
    </row>
    <row r="47" spans="1:6" x14ac:dyDescent="0.3">
      <c r="A47" s="19">
        <v>46</v>
      </c>
      <c r="B47" s="2" t="s">
        <v>46</v>
      </c>
      <c r="C47" s="4">
        <v>402</v>
      </c>
      <c r="D47" s="5">
        <v>8.9600000000000009</v>
      </c>
      <c r="E47" s="11">
        <f t="shared" si="0"/>
        <v>36.019200000000005</v>
      </c>
      <c r="F47" s="25">
        <v>2</v>
      </c>
    </row>
    <row r="48" spans="1:6" x14ac:dyDescent="0.3">
      <c r="A48" s="19">
        <v>47</v>
      </c>
      <c r="B48" s="2" t="s">
        <v>47</v>
      </c>
      <c r="C48" s="4">
        <v>3967</v>
      </c>
      <c r="D48" s="5">
        <v>1.94</v>
      </c>
      <c r="E48" s="11">
        <f t="shared" si="0"/>
        <v>76.959800000000001</v>
      </c>
      <c r="F48" s="25">
        <v>1</v>
      </c>
    </row>
    <row r="49" spans="1:6" x14ac:dyDescent="0.3">
      <c r="A49" s="19">
        <v>48</v>
      </c>
      <c r="B49" s="2" t="s">
        <v>48</v>
      </c>
      <c r="C49" s="4">
        <v>2110</v>
      </c>
      <c r="D49" s="5">
        <v>9.48</v>
      </c>
      <c r="E49" s="11">
        <f t="shared" si="0"/>
        <v>200.02799999999999</v>
      </c>
      <c r="F49" s="25">
        <v>1</v>
      </c>
    </row>
    <row r="50" spans="1:6" x14ac:dyDescent="0.3">
      <c r="A50" s="19">
        <v>49</v>
      </c>
      <c r="B50" s="2" t="s">
        <v>49</v>
      </c>
      <c r="C50" s="4">
        <v>985</v>
      </c>
      <c r="D50" s="5">
        <v>14.42</v>
      </c>
      <c r="E50" s="11">
        <f t="shared" si="0"/>
        <v>142.03700000000001</v>
      </c>
      <c r="F50" s="25">
        <v>1</v>
      </c>
    </row>
    <row r="51" spans="1:6" ht="28.8" x14ac:dyDescent="0.3">
      <c r="A51" s="19">
        <v>50</v>
      </c>
      <c r="B51" s="3" t="s">
        <v>50</v>
      </c>
      <c r="C51" s="4">
        <v>538</v>
      </c>
      <c r="D51" s="5">
        <v>9.76</v>
      </c>
      <c r="E51" s="11">
        <f t="shared" si="0"/>
        <v>52.508800000000001</v>
      </c>
      <c r="F51" s="25">
        <v>2</v>
      </c>
    </row>
    <row r="52" spans="1:6" x14ac:dyDescent="0.3">
      <c r="A52" s="19">
        <v>51</v>
      </c>
      <c r="B52" s="2" t="s">
        <v>51</v>
      </c>
      <c r="C52" s="4">
        <v>8110</v>
      </c>
      <c r="D52" s="5">
        <v>3.14</v>
      </c>
      <c r="E52" s="11">
        <f t="shared" si="0"/>
        <v>254.65400000000002</v>
      </c>
      <c r="F52" s="25">
        <v>4</v>
      </c>
    </row>
    <row r="53" spans="1:6" ht="28.8" x14ac:dyDescent="0.3">
      <c r="A53" s="19">
        <v>52</v>
      </c>
      <c r="B53" s="3" t="s">
        <v>52</v>
      </c>
      <c r="C53" s="4">
        <v>2055</v>
      </c>
      <c r="D53" s="5">
        <v>1.22</v>
      </c>
      <c r="E53" s="11">
        <f t="shared" si="0"/>
        <v>25.070999999999998</v>
      </c>
      <c r="F53" s="25">
        <v>1</v>
      </c>
    </row>
    <row r="54" spans="1:6" ht="15" thickBot="1" x14ac:dyDescent="0.35">
      <c r="A54" s="20">
        <v>53</v>
      </c>
      <c r="B54" s="12" t="s">
        <v>53</v>
      </c>
      <c r="C54" s="13">
        <v>4442</v>
      </c>
      <c r="D54" s="14">
        <v>2.39</v>
      </c>
      <c r="E54" s="15">
        <f t="shared" si="0"/>
        <v>106.16380000000001</v>
      </c>
      <c r="F54" s="27">
        <v>1</v>
      </c>
    </row>
    <row r="55" spans="1:6" ht="15" thickBot="1" x14ac:dyDescent="0.35"/>
    <row r="56" spans="1:6" ht="15" thickBot="1" x14ac:dyDescent="0.35">
      <c r="B56" s="16" t="s">
        <v>55</v>
      </c>
      <c r="C56" s="17">
        <f>SUM(C2:C55)</f>
        <v>225926</v>
      </c>
      <c r="D56" s="16" t="s">
        <v>55</v>
      </c>
      <c r="E56" s="17">
        <f>SUM(E2:E55)</f>
        <v>6627.6496000000006</v>
      </c>
    </row>
    <row r="58" spans="1:6" x14ac:dyDescent="0.3">
      <c r="B58" s="28"/>
    </row>
    <row r="59" spans="1:6" x14ac:dyDescent="0.3">
      <c r="B59" s="28"/>
    </row>
    <row r="60" spans="1:6" x14ac:dyDescent="0.3">
      <c r="B60" s="28"/>
      <c r="C60" s="29"/>
    </row>
    <row r="63" spans="1:6" x14ac:dyDescent="0.3">
      <c r="B63" s="28"/>
      <c r="C63" s="30"/>
    </row>
    <row r="64" spans="1:6" x14ac:dyDescent="0.3">
      <c r="B64" s="28"/>
      <c r="C64" s="30"/>
    </row>
    <row r="65" spans="2:3" x14ac:dyDescent="0.3">
      <c r="B65" s="28"/>
      <c r="C65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Original</vt:lpstr>
      <vt:lpstr>MyReview</vt:lpstr>
      <vt:lpstr>MyRev+comments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Lopes Peixe</dc:creator>
  <cp:keywords/>
  <dc:description/>
  <cp:lastModifiedBy>Mariana Peixe</cp:lastModifiedBy>
  <cp:revision/>
  <dcterms:created xsi:type="dcterms:W3CDTF">2026-05-01T13:59:15Z</dcterms:created>
  <dcterms:modified xsi:type="dcterms:W3CDTF">2026-06-11T13:04:05Z</dcterms:modified>
  <cp:category/>
  <cp:contentStatus/>
</cp:coreProperties>
</file>